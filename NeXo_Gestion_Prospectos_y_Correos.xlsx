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sheets>
    <sheet name="Inicio" sheetId="1" state="visible" r:id="rId1"/>
    <sheet name="Contactos" sheetId="2" state="visible" r:id="rId2"/>
    <sheet name="Plantillas" sheetId="3" state="visible" r:id="rId3"/>
    <sheet name="Clasificación" sheetId="4" state="visible" r:id="rId4"/>
  </sheets>
  <definedNames/>
</workbook>
</file>

<file path=xl/styles.xml><?xml version="1.0" encoding="utf-8"?>
<styleSheet xmlns="http://schemas.openxmlformats.org/spreadsheetml/2006/main">
  <numFmts count="1">
    <numFmt numFmtId="164" formatCode="dd-mmm-yyyy"/>
  </numFmts>
  <fonts count="12">
    <font>
      <name val="Carlito"/>
      <sz val="11"/>
    </font>
    <font>
      <name val="Arial"/>
      <b val="1"/>
      <color rgb="FF0B1F3A"/>
      <sz val="16"/>
    </font>
    <font>
      <name val="Arial"/>
      <color rgb="FF536579"/>
      <sz val="10"/>
    </font>
    <font>
      <name val="Arial"/>
      <b val="1"/>
      <color rgb="FFFFFFFF"/>
      <sz val="10"/>
    </font>
    <font>
      <name val="Arial"/>
      <color rgb="FF0B1F3A"/>
      <sz val="9"/>
    </font>
    <font>
      <name val="Arial"/>
      <b val="1"/>
      <color rgb="FFFFFFFF"/>
      <sz val="9"/>
    </font>
    <font>
      <name val="Arial"/>
      <color rgb="FF0B1F3A"/>
      <sz val="10"/>
    </font>
    <font>
      <name val="Arial"/>
      <b val="1"/>
      <color rgb="FF1269E8"/>
      <sz val="14"/>
    </font>
    <font>
      <name val="Arial"/>
      <b val="1"/>
      <color rgb="FF0B1F3A"/>
      <sz val="12"/>
    </font>
    <font>
      <name val="Arial"/>
      <b val="1"/>
      <color rgb="FF1269E8"/>
      <sz val="10"/>
    </font>
    <font>
      <name val="Arial"/>
      <b val="1"/>
      <color rgb="FF536579"/>
      <sz val="10"/>
    </font>
    <font>
      <name val="Arial"/>
      <b val="1"/>
      <color rgb="FF0B1F3A"/>
      <sz val="18"/>
    </font>
  </fonts>
  <fills count="5">
    <fill>
      <patternFill/>
    </fill>
    <fill>
      <patternFill patternType="gray125"/>
    </fill>
    <fill>
      <patternFill patternType="solid">
        <fgColor rgb="FF0B1F3A"/>
      </patternFill>
    </fill>
    <fill>
      <patternFill patternType="solid">
        <fgColor rgb="FFEAF3FF"/>
      </patternFill>
    </fill>
    <fill>
      <patternFill patternType="solid">
        <fgColor rgb="FFFFF5D6"/>
      </patternFill>
    </fill>
  </fills>
  <borders count="2">
    <border>
      <left/>
      <right/>
      <top/>
      <bottom/>
      <diagonal/>
    </border>
    <border>
      <left/>
      <right/>
      <top/>
      <bottom style="thin">
        <color rgb="FFD7E1EC"/>
      </bottom>
      <diagonal/>
    </border>
  </borders>
  <cellStyleXfs count="1">
    <xf numFmtId="0" fontId="0" fillId="0" borderId="0"/>
  </cellStyleXfs>
  <cellXfs count="47">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wrapText="1"/>
    </xf>
    <xf numFmtId="0" fontId="0" fillId="2" borderId="0" pivotButton="0" quotePrefix="0" xfId="0"/>
    <xf numFmtId="0" fontId="3" fillId="2" borderId="0" pivotButton="0" quotePrefix="0" xfId="0"/>
    <xf numFmtId="0" fontId="3" fillId="2" borderId="0" applyAlignment="1" pivotButton="0" quotePrefix="0" xfId="0">
      <alignment wrapText="1"/>
    </xf>
    <xf numFmtId="0" fontId="3" fillId="2" borderId="0" applyAlignment="1" pivotButton="0" quotePrefix="0" xfId="0">
      <alignment horizontal="center" wrapText="1"/>
    </xf>
    <xf numFmtId="0" fontId="3" fillId="2" borderId="0" applyAlignment="1" pivotButton="0" quotePrefix="0" xfId="0">
      <alignment horizontal="center" vertical="center" wrapText="1"/>
    </xf>
    <xf numFmtId="0" fontId="4" fillId="0" borderId="0" pivotButton="0" quotePrefix="0" xfId="0"/>
    <xf numFmtId="0" fontId="4" fillId="0" borderId="0" applyAlignment="1" pivotButton="0" quotePrefix="0" xfId="0">
      <alignment wrapText="1"/>
    </xf>
    <xf numFmtId="0" fontId="4" fillId="0" borderId="0" applyAlignment="1" pivotButton="0" quotePrefix="0" xfId="0">
      <alignment vertical="top" wrapText="1"/>
    </xf>
    <xf numFmtId="0" fontId="5" fillId="2" borderId="0" pivotButton="0" quotePrefix="0" xfId="0"/>
    <xf numFmtId="0" fontId="5" fillId="2" borderId="0" applyAlignment="1" pivotButton="0" quotePrefix="0" xfId="0">
      <alignment wrapText="1"/>
    </xf>
    <xf numFmtId="0" fontId="5" fillId="2" borderId="0" applyAlignment="1" pivotButton="0" quotePrefix="0" xfId="0">
      <alignment horizontal="center" wrapText="1"/>
    </xf>
    <xf numFmtId="0" fontId="5" fillId="2" borderId="0" applyAlignment="1" pivotButton="0" quotePrefix="0" xfId="0">
      <alignment horizontal="center" vertical="center" wrapText="1"/>
    </xf>
    <xf numFmtId="0" fontId="4" fillId="0" borderId="0" applyAlignment="1" pivotButton="0" quotePrefix="0" xfId="0">
      <alignment/>
    </xf>
    <xf numFmtId="0" fontId="4" fillId="0" borderId="0" applyAlignment="1" pivotButton="0" quotePrefix="0" xfId="0">
      <alignment vertical="top"/>
    </xf>
    <xf numFmtId="0" fontId="4" fillId="3" borderId="0" applyAlignment="1" pivotButton="0" quotePrefix="0" xfId="0">
      <alignment vertical="top"/>
    </xf>
    <xf numFmtId="0" fontId="4" fillId="3" borderId="0" applyAlignment="1" pivotButton="0" quotePrefix="0" xfId="0">
      <alignment vertical="center"/>
    </xf>
    <xf numFmtId="0" fontId="4" fillId="4" borderId="0" applyAlignment="1" pivotButton="0" quotePrefix="0" xfId="0">
      <alignment vertical="top"/>
    </xf>
    <xf numFmtId="0" fontId="4" fillId="0" borderId="0" applyAlignment="1" pivotButton="0" quotePrefix="0" xfId="0">
      <alignment horizontal="center" vertical="top"/>
    </xf>
    <xf numFmtId="164" fontId="4" fillId="0" borderId="0" applyAlignment="1" pivotButton="0" quotePrefix="0" xfId="0">
      <alignment vertical="top"/>
    </xf>
    <xf numFmtId="164" fontId="4" fillId="4" borderId="0" applyAlignment="1" pivotButton="0" quotePrefix="0" xfId="0">
      <alignment vertical="top"/>
    </xf>
    <xf numFmtId="0" fontId="6" fillId="0" borderId="0" pivotButton="0" quotePrefix="0" xfId="0"/>
    <xf numFmtId="0" fontId="6" fillId="0" borderId="0" applyAlignment="1" pivotButton="0" quotePrefix="0" xfId="0">
      <alignment vertical="center"/>
    </xf>
    <xf numFmtId="0" fontId="7" fillId="0" borderId="0" pivotButton="0" quotePrefix="0" xfId="0"/>
    <xf numFmtId="0" fontId="7" fillId="0" borderId="0" applyAlignment="1" pivotButton="0" quotePrefix="0" xfId="0">
      <alignment horizontal="center"/>
    </xf>
    <xf numFmtId="0" fontId="7" fillId="0" borderId="0" applyAlignment="1" pivotButton="0" quotePrefix="0" xfId="0">
      <alignment horizontal="center" vertical="center"/>
    </xf>
    <xf numFmtId="0" fontId="8" fillId="0" borderId="0" pivotButton="0" quotePrefix="0" xfId="0"/>
    <xf numFmtId="0" fontId="8" fillId="0" borderId="1" pivotButton="0" quotePrefix="0" xfId="0"/>
    <xf numFmtId="0" fontId="9" fillId="0" borderId="0" pivotButton="0" quotePrefix="0" xfId="0"/>
    <xf numFmtId="0" fontId="9" fillId="0" borderId="0" applyAlignment="1" pivotButton="0" quotePrefix="0" xfId="0">
      <alignment vertical="top"/>
    </xf>
    <xf numFmtId="0" fontId="6" fillId="0" borderId="0" applyAlignment="1" pivotButton="0" quotePrefix="0" xfId="0">
      <alignment wrapText="1"/>
    </xf>
    <xf numFmtId="0" fontId="6" fillId="0" borderId="0" applyAlignment="1" pivotButton="0" quotePrefix="0" xfId="0">
      <alignment vertical="top" wrapText="1"/>
    </xf>
    <xf numFmtId="0" fontId="10" fillId="0" borderId="0" pivotButton="0" quotePrefix="0" xfId="0"/>
    <xf numFmtId="0" fontId="10" fillId="0" borderId="0" applyAlignment="1" pivotButton="0" quotePrefix="0" xfId="0">
      <alignment vertical="top"/>
    </xf>
    <xf numFmtId="0" fontId="11" fillId="0" borderId="0" pivotButton="0" quotePrefix="0" xfId="0"/>
    <xf numFmtId="0" fontId="0" fillId="0" borderId="0" applyAlignment="1" pivotButton="0" quotePrefix="0" xfId="0">
      <alignment vertical="center"/>
    </xf>
    <xf numFmtId="0" fontId="11" fillId="0" borderId="0" applyAlignment="1" pivotButton="0" quotePrefix="0" xfId="0">
      <alignment vertical="center"/>
    </xf>
    <xf numFmtId="0" fontId="2" fillId="0" borderId="0" applyAlignment="1" pivotButton="0" quotePrefix="0" xfId="0">
      <alignment vertical="center"/>
    </xf>
    <xf numFmtId="0" fontId="8" fillId="0" borderId="1" applyAlignment="1" pivotButton="0" quotePrefix="0" xfId="0">
      <alignment vertical="center"/>
    </xf>
    <xf numFmtId="0" fontId="9" fillId="0" borderId="0" applyAlignment="1" pivotButton="0" quotePrefix="0" xfId="0">
      <alignment vertical="center"/>
    </xf>
    <xf numFmtId="0" fontId="6" fillId="0" borderId="0" applyAlignment="1" pivotButton="0" quotePrefix="0" xfId="0">
      <alignment vertical="center" wrapText="1"/>
    </xf>
    <xf numFmtId="0" fontId="10" fillId="0" borderId="0" applyAlignment="1" pivotButton="0" quotePrefix="0" xfId="0">
      <alignment vertical="center"/>
    </xf>
    <xf numFmtId="164" fontId="4" fillId="0" borderId="0" applyAlignment="1" pivotButton="0" quotePrefix="0" xfId="0">
      <alignment vertical="top"/>
    </xf>
    <xf numFmtId="164" fontId="4" fillId="4" borderId="0" applyAlignment="1" pivotButton="0" quotePrefix="0" xfId="0">
      <alignment vertical="top"/>
    </xf>
  </cellXfs>
  <cellStyles count="1">
    <cellStyle name="Normal" xfId="0"/>
  </cellStyles>
  <dxfs count="1">
    <dxf>
      <font>
        <b val="1"/>
        <color rgb="FFA61B1B"/>
      </font>
      <fill>
        <patternFill patternType="solid">
          <bgColor rgb="FFFCE8E6"/>
        </patternFill>
      </fill>
    </dxf>
  </dxf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ables/table1.xml><?xml version="1.0" encoding="utf-8"?>
<table xmlns="http://schemas.openxmlformats.org/spreadsheetml/2006/main" id="1" name="ContactosNeXo" displayName="ContactosNeXo" ref="A4:S225" headerRowCount="1" totalsRowCount="0" totalsRowShown="0">
  <tableColumns count="19">
    <tableColumn id="1" name="ID"/>
    <tableColumn id="2" name="Negocio"/>
    <tableColumn id="3" name="Categoría de contacto"/>
    <tableColumn id="4" name="Sector según fuente"/>
    <tableColumn id="5" name="Correo público"/>
    <tableColumn id="6" name="Teléfono público"/>
    <tableColumn id="7" name="Dirección publicada"/>
    <tableColumn id="8" name="Fecha de consulta"/>
    <tableColumn id="9" name="Indicio de actualidad"/>
    <tableColumn id="10" name="Fuente pública"/>
    <tableColumn id="11" name="Observaciones de la fuente"/>
    <tableColumn id="12" name="Asunto sugerido"/>
    <tableColumn id="13" name="Cuerpo sugerido"/>
    <tableColumn id="14" name="Validación del correo"/>
    <tableColumn id="15" name="Autorización comercial"/>
    <tableColumn id="16" name="Estado de campaña"/>
    <tableColumn id="17" name="Fecha de envío"/>
    <tableColumn id="18" name="Resultado / notas"/>
    <tableColumn id="19" name="WhatsApp autorizado"/>
  </tableColumns>
  <tableStyleInfo name="TableStyleMedium2" showFirstColumn="0" showLastColumn="0" showRowStripes="1" showColumnStripes="0"/>
</table>
</file>

<file path=xl/tables/table2.xml><?xml version="1.0" encoding="utf-8"?>
<table xmlns="http://schemas.openxmlformats.org/spreadsheetml/2006/main" id="2" name="PlantillasNeXo" displayName="PlantillasNeXo" ref="A5:D15" headerRowCount="1" totalsRowCount="0" totalsRowShown="0">
  <tableColumns count="4">
    <tableColumn id="1" name="Categoría de contacto"/>
    <tableColumn id="2" name="Asunto modelo"/>
    <tableColumn id="3" name="Cuerpo modelo (texto plano)"/>
    <tableColumn id="4" name="Sectores incluidos"/>
  </tableColumns>
  <tableStyleInfo name="TableStyleMedium2" showFirstColumn="0" showLastColumn="0" showRowStripes="1" showColumnStripes="0"/>
</table>
</file>

<file path=xl/tables/table3.xml><?xml version="1.0" encoding="utf-8"?>
<table xmlns="http://schemas.openxmlformats.org/spreadsheetml/2006/main" id="3" name="MapaSectoresNeXo" displayName="MapaSectoresNeXo" ref="A5:C74" headerRowCount="1" totalsRowCount="0" totalsRowShown="0">
  <tableColumns count="3">
    <tableColumn id="1" name="Sector según fuente"/>
    <tableColumn id="2" name="Categoría de contacto"/>
    <tableColumn id="3" name="Negocios en esta categoría fuent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Relationships xmlns="http://schemas.openxmlformats.org/package/2006/relationships"><Relationship Type="http://schemas.openxmlformats.org/officeDocument/2006/relationships/table" Target="/xl/tables/table1.xml" Id="rId1" /></Relationships>
</file>

<file path=xl/worksheets/_rels/sheet3.xml.rels><Relationships xmlns="http://schemas.openxmlformats.org/package/2006/relationships"><Relationship Type="http://schemas.openxmlformats.org/officeDocument/2006/relationships/table" Target="/xl/tables/table2.xml" Id="rId1" /></Relationships>
</file>

<file path=xl/worksheets/_rels/sheet4.xml.rels><Relationships xmlns="http://schemas.openxmlformats.org/package/2006/relationships"><Relationship Type="http://schemas.openxmlformats.org/officeDocument/2006/relationships/table" Target="/xl/tables/table3.xml" Id="rId1" /></Relationships>
</file>

<file path=xl/worksheets/sheet1.xml><?xml version="1.0" encoding="utf-8"?>
<worksheet xmlns="http://schemas.openxmlformats.org/spreadsheetml/2006/main">
  <sheetPr>
    <tabColor rgb="FF0B1F3A"/>
    <outlinePr summaryBelow="1" summaryRight="1"/>
    <pageSetUpPr/>
  </sheetPr>
  <dimension ref="A1:H20"/>
  <sheetViews>
    <sheetView showGridLines="0" workbookViewId="0">
      <selection activeCell="A1" sqref="A1"/>
    </sheetView>
  </sheetViews>
  <sheetFormatPr baseColWidth="8" defaultRowHeight="15" outlineLevelCol="0"/>
  <cols>
    <col width="26" customWidth="1" min="1" max="1"/>
    <col width="96" customWidth="1" min="2" max="2"/>
    <col width="24" customWidth="1" min="3" max="3"/>
    <col width="5" customWidth="1" min="4" max="4"/>
    <col width="24" customWidth="1" min="5" max="5"/>
    <col width="5" customWidth="1" min="6" max="6"/>
    <col width="16" customWidth="1" min="7" max="7"/>
    <col width="14" customWidth="1" min="8" max="8"/>
  </cols>
  <sheetData>
    <row r="1">
      <c r="A1" s="38" t="n"/>
      <c r="B1" s="38" t="n"/>
      <c r="C1" s="38" t="n"/>
      <c r="D1" s="38" t="n"/>
      <c r="E1" s="38" t="n"/>
      <c r="F1" s="38" t="n"/>
      <c r="G1" s="38" t="n"/>
      <c r="H1" s="38" t="n"/>
    </row>
    <row r="2">
      <c r="A2" s="39" t="inlineStr">
        <is>
          <t>NeXo | Prospectos y correos</t>
        </is>
      </c>
      <c r="B2" s="38" t="n"/>
      <c r="C2" s="38" t="n"/>
      <c r="D2" s="38" t="n"/>
      <c r="E2" s="38" t="n"/>
      <c r="F2" s="38" t="n"/>
      <c r="G2" s="38" t="n"/>
      <c r="H2" s="38" t="n"/>
    </row>
    <row r="3">
      <c r="A3" s="40" t="inlineStr">
        <is>
          <t>Base local de negocios de La Dorada, Caldas, con borradores de correo personalizables por sector.</t>
        </is>
      </c>
      <c r="B3" s="40" t="n"/>
      <c r="C3" s="40" t="n"/>
      <c r="D3" s="40" t="n"/>
      <c r="E3" s="40" t="n"/>
      <c r="F3" s="40" t="n"/>
      <c r="G3" s="40" t="n"/>
      <c r="H3" s="40" t="n"/>
    </row>
    <row r="4">
      <c r="A4" s="38" t="n"/>
      <c r="B4" s="38" t="n"/>
      <c r="C4" s="38" t="n"/>
      <c r="D4" s="38" t="n"/>
      <c r="E4" s="38" t="n"/>
      <c r="F4" s="38" t="n"/>
      <c r="G4" s="38" t="n"/>
      <c r="H4" s="38" t="n"/>
    </row>
    <row r="5" ht="35" customHeight="1">
      <c r="A5" s="8" t="inlineStr">
        <is>
          <t>Negocios</t>
        </is>
      </c>
      <c r="B5" s="8" t="n"/>
      <c r="C5" s="8" t="inlineStr">
        <is>
          <t>Con correo publicado</t>
        </is>
      </c>
      <c r="D5" s="8" t="n"/>
      <c r="E5" s="8" t="inlineStr">
        <is>
          <t>Sin correo publicado</t>
        </is>
      </c>
      <c r="F5" s="8" t="n"/>
      <c r="G5" s="8" t="inlineStr">
        <is>
          <t>Categorías</t>
        </is>
      </c>
      <c r="H5" s="8" t="n"/>
    </row>
    <row r="6" ht="30" customHeight="1">
      <c r="A6" s="28" t="n"/>
      <c r="B6" s="28">
        <f>COUNTA(Contactos!$B$5:$B$225)</f>
        <v/>
      </c>
      <c r="C6" s="28" t="n"/>
      <c r="D6" s="28">
        <f>COUNTIF(Contactos!$E$5:$E$225,"&lt;&gt;")</f>
        <v/>
      </c>
      <c r="E6" s="28" t="n"/>
      <c r="F6" s="28">
        <f>COUNTBLANK(Contactos!$E$5:$E$225)</f>
        <v/>
      </c>
      <c r="G6" s="28" t="n"/>
      <c r="H6" s="28">
        <f>COUNTA(Plantillas!$A$6:$A$15)</f>
        <v/>
      </c>
    </row>
    <row r="7">
      <c r="A7" s="38" t="n"/>
      <c r="B7" s="38" t="n"/>
      <c r="C7" s="38" t="n"/>
      <c r="D7" s="38" t="n"/>
      <c r="E7" s="38" t="n"/>
      <c r="F7" s="38" t="n"/>
      <c r="G7" s="38" t="n"/>
      <c r="H7" s="38" t="n"/>
    </row>
    <row r="8">
      <c r="A8" s="41" t="inlineStr">
        <is>
          <t>Flujo de trabajo</t>
        </is>
      </c>
      <c r="B8" s="41" t="n"/>
      <c r="C8" s="38" t="n"/>
      <c r="D8" s="38" t="n"/>
      <c r="E8" s="38" t="n"/>
      <c r="F8" s="38" t="n"/>
      <c r="G8" s="38" t="n"/>
      <c r="H8" s="38" t="n"/>
    </row>
    <row r="9" ht="42" customHeight="1">
      <c r="A9" s="42" t="inlineStr">
        <is>
          <t>1. Filtra</t>
        </is>
      </c>
      <c r="B9" s="43" t="inlineStr">
        <is>
          <t>En Contactos, usa los filtros de la tabla para elegir una categoría, correo disponible o estado.</t>
        </is>
      </c>
      <c r="C9" s="38" t="n"/>
      <c r="D9" s="38" t="n"/>
      <c r="E9" s="38" t="n"/>
      <c r="F9" s="38" t="n"/>
      <c r="G9" s="38" t="n"/>
      <c r="H9" s="38" t="n"/>
    </row>
    <row r="10" ht="42" customHeight="1">
      <c r="A10" s="42" t="inlineStr">
        <is>
          <t>2. Ajusta el mensaje</t>
        </is>
      </c>
      <c r="B10" s="43" t="inlineStr">
        <is>
          <t>Edita el asunto y cuerpo de cada sector en Plantillas. Los borradores de Contactos cambian automáticamente; {NEGOCIO} se sustituye por el nombre del prospecto.</t>
        </is>
      </c>
      <c r="C10" s="38" t="n"/>
      <c r="D10" s="38" t="n"/>
      <c r="E10" s="38" t="n"/>
      <c r="F10" s="38" t="n"/>
      <c r="G10" s="38" t="n"/>
      <c r="H10" s="38" t="n"/>
    </row>
    <row r="11" ht="42" customHeight="1">
      <c r="A11" s="42" t="inlineStr">
        <is>
          <t>3. Revisa los datos</t>
        </is>
      </c>
      <c r="B11" s="43" t="inlineStr">
        <is>
          <t>Confirma que el negocio siga activo, que el correo corresponda y que el contacto comercial sea apropiado antes de enviar.</t>
        </is>
      </c>
      <c r="C11" s="38" t="n"/>
      <c r="D11" s="38" t="n"/>
      <c r="E11" s="38" t="n"/>
      <c r="F11" s="38" t="n"/>
      <c r="G11" s="38" t="n"/>
      <c r="H11" s="38" t="n"/>
    </row>
    <row r="12" ht="42" customHeight="1">
      <c r="A12" s="42" t="inlineStr">
        <is>
          <t>4. Prepara la automatización</t>
        </is>
      </c>
      <c r="B12" s="43" t="inlineStr">
        <is>
          <t>Procesa solo filas con correo verificado, autorización comercial confirmada y estado Listo para enviar; después registra Enviado y la fecha para evitar duplicados.</t>
        </is>
      </c>
      <c r="C12" s="38" t="n"/>
      <c r="D12" s="38" t="n"/>
      <c r="E12" s="38" t="n"/>
      <c r="F12" s="38" t="n"/>
      <c r="G12" s="38" t="n"/>
      <c r="H12" s="38" t="n"/>
    </row>
    <row r="13" ht="42" customHeight="1">
      <c r="A13" s="42" t="inlineStr">
        <is>
          <t>5. Respeta bajas</t>
        </is>
      </c>
      <c r="B13" s="43" t="inlineStr">
        <is>
          <t>Si alguien pide no recibir más mensajes, cambia el estado a Dado de baja o No contactar y exclúyelo de cualquier campaña futura.</t>
        </is>
      </c>
      <c r="C13" s="38" t="n"/>
      <c r="D13" s="38" t="n"/>
      <c r="E13" s="38" t="n"/>
      <c r="F13" s="38" t="n"/>
      <c r="G13" s="38" t="n"/>
      <c r="H13" s="38" t="n"/>
    </row>
    <row r="14" ht="42" customHeight="1">
      <c r="A14" s="42" t="inlineStr">
        <is>
          <t>WhatsApp</t>
        </is>
      </c>
      <c r="B14" s="43" t="inlineStr">
        <is>
          <t>Todos los permisos están pendientes según los archivos fuente. No uses teléfonos para publicidad por WhatsApp hasta registrar el consentimiento correspondiente.</t>
        </is>
      </c>
      <c r="C14" s="38" t="n"/>
      <c r="D14" s="38" t="n"/>
      <c r="E14" s="38" t="n"/>
      <c r="F14" s="38" t="n"/>
      <c r="G14" s="38" t="n"/>
      <c r="H14" s="38" t="n"/>
    </row>
    <row r="15">
      <c r="A15" s="38" t="n"/>
      <c r="B15" s="38" t="n"/>
      <c r="C15" s="38" t="n"/>
      <c r="D15" s="38" t="n"/>
      <c r="E15" s="38" t="n"/>
      <c r="F15" s="38" t="n"/>
      <c r="G15" s="38" t="n"/>
      <c r="H15" s="38" t="n"/>
    </row>
    <row r="16">
      <c r="A16" s="41" t="inlineStr">
        <is>
          <t>Cobertura y fuente</t>
        </is>
      </c>
      <c r="B16" s="41" t="n"/>
      <c r="C16" s="38" t="n"/>
      <c r="D16" s="38" t="n"/>
      <c r="E16" s="38" t="n"/>
      <c r="F16" s="38" t="n"/>
      <c r="G16" s="38" t="n"/>
      <c r="H16" s="38" t="n"/>
    </row>
    <row r="17" ht="38" customHeight="1">
      <c r="A17" s="44" t="inlineStr">
        <is>
          <t>Consolidación</t>
        </is>
      </c>
      <c r="B17" s="43" t="inlineStr">
        <is>
          <t>221 negocios únicos integrados de los dos archivos recibidos; 96 correos publicados y 125 registros sin correo público.</t>
        </is>
      </c>
      <c r="C17" s="38" t="n"/>
      <c r="D17" s="38" t="n"/>
      <c r="E17" s="38" t="n"/>
      <c r="F17" s="38" t="n"/>
      <c r="G17" s="38" t="n"/>
      <c r="H17" s="38" t="n"/>
    </row>
    <row r="18" ht="38" customHeight="1">
      <c r="A18" s="44" t="inlineStr">
        <is>
          <t>Consulta fuente</t>
        </is>
      </c>
      <c r="B18" s="43" t="inlineStr">
        <is>
          <t>La fecha de consulta de los archivos es 19-oct-2026. Las señales de actualidad y enlaces originales se conservan en Contactos.</t>
        </is>
      </c>
      <c r="C18" s="38" t="n"/>
      <c r="D18" s="38" t="n"/>
      <c r="E18" s="38" t="n"/>
      <c r="F18" s="38" t="n"/>
      <c r="G18" s="38" t="n"/>
      <c r="H18" s="38" t="n"/>
    </row>
    <row r="19" ht="38" customHeight="1">
      <c r="A19" s="44" t="inlineStr">
        <is>
          <t>Validación</t>
        </is>
      </c>
      <c r="B19" s="43" t="inlineStr">
        <is>
          <t>La presencia de un contacto público no confirma que siga vigente ni que pueda usarse para cualquier campaña. Verifica cada registro y aplica las reglas de contacto y baja correspondientes.</t>
        </is>
      </c>
      <c r="C19" s="38" t="n"/>
      <c r="D19" s="38" t="n"/>
      <c r="E19" s="38" t="n"/>
      <c r="F19" s="38" t="n"/>
      <c r="G19" s="38" t="n"/>
      <c r="H19" s="38" t="n"/>
    </row>
    <row r="20">
      <c r="A20" s="38" t="n"/>
      <c r="B20" s="38" t="n"/>
      <c r="C20" s="38" t="n"/>
      <c r="D20" s="38" t="n"/>
      <c r="E20" s="38" t="n"/>
      <c r="F20" s="38" t="n"/>
      <c r="G20" s="38" t="n"/>
      <c r="H20" s="38" t="n"/>
    </row>
  </sheetData>
  <pageMargins left="0.7" right="0.7" top="0.75" bottom="0.75" header="0.3" footer="0.3"/>
</worksheet>
</file>

<file path=xl/worksheets/sheet2.xml><?xml version="1.0" encoding="utf-8"?>
<worksheet xmlns="http://schemas.openxmlformats.org/spreadsheetml/2006/main">
  <sheetPr>
    <tabColor rgb="FF1269E8"/>
    <outlinePr summaryBelow="1" summaryRight="1"/>
    <pageSetUpPr/>
  </sheetPr>
  <dimension ref="A2:S225"/>
  <sheetViews>
    <sheetView showGridLines="0" workbookViewId="0">
      <pane ySplit="4" topLeftCell="A5" activePane="bottomLeft" state="frozen"/>
      <selection activeCell="A1" sqref="A1"/>
    </sheetView>
  </sheetViews>
  <sheetFormatPr baseColWidth="8" defaultRowHeight="15" outlineLevelCol="0"/>
  <cols>
    <col width="9" customWidth="1" min="1" max="1"/>
    <col width="34" customWidth="1" min="2" max="2"/>
    <col width="32" customWidth="1" min="3" max="3"/>
    <col width="32" customWidth="1" min="4" max="4"/>
    <col width="36" customWidth="1" min="5" max="5"/>
    <col width="20" customWidth="1" min="6" max="6"/>
    <col width="32" customWidth="1" min="7" max="7"/>
    <col width="16" customWidth="1" min="8" max="8"/>
    <col width="52" customWidth="1" min="9" max="9"/>
    <col width="60" customWidth="1" min="10" max="10"/>
    <col width="55" customWidth="1" min="11" max="11"/>
    <col width="42" customWidth="1" min="12" max="12"/>
    <col width="95" customWidth="1" min="13" max="13"/>
    <col width="24" customWidth="1" min="14" max="14"/>
    <col width="26" customWidth="1" min="15" max="15"/>
    <col width="24" customWidth="1" min="16" max="16"/>
    <col width="17" customWidth="1" min="17" max="17"/>
    <col width="36" customWidth="1" min="18" max="18"/>
    <col width="22" customWidth="1" min="19" max="19"/>
  </cols>
  <sheetData>
    <row r="2">
      <c r="A2" s="1" t="inlineStr">
        <is>
          <t>Base de contactos de La Dorada</t>
        </is>
      </c>
    </row>
    <row r="3" ht="30" customHeight="1">
      <c r="A3" s="3" t="inlineStr">
        <is>
          <t>Filtra por categoría o correo. Asunto y cuerpo salen de Plantillas; haz clic en la celda para copiar el texto completo. Las celdas amarillas son controles editables.</t>
        </is>
      </c>
      <c r="B3" s="3" t="n"/>
      <c r="C3" s="3" t="n"/>
      <c r="D3" s="3" t="n"/>
      <c r="E3" s="3" t="n"/>
      <c r="F3" s="3" t="n"/>
      <c r="G3" s="3" t="n"/>
      <c r="H3" s="3" t="n"/>
      <c r="I3" s="3" t="n"/>
      <c r="J3" s="3" t="n"/>
      <c r="K3" s="3" t="n"/>
      <c r="L3" s="3" t="n"/>
      <c r="M3" s="3" t="n"/>
      <c r="N3" s="3" t="n"/>
      <c r="O3" s="3" t="n"/>
      <c r="P3" s="3" t="n"/>
      <c r="Q3" s="3" t="n"/>
      <c r="R3" s="3" t="n"/>
      <c r="S3" s="3" t="n"/>
    </row>
    <row r="4" ht="38" customHeight="1">
      <c r="A4" s="15" t="inlineStr">
        <is>
          <t>ID</t>
        </is>
      </c>
      <c r="B4" s="15" t="inlineStr">
        <is>
          <t>Negocio</t>
        </is>
      </c>
      <c r="C4" s="15" t="inlineStr">
        <is>
          <t>Categoría de contacto</t>
        </is>
      </c>
      <c r="D4" s="15" t="inlineStr">
        <is>
          <t>Sector según fuente</t>
        </is>
      </c>
      <c r="E4" s="15" t="inlineStr">
        <is>
          <t>Correo público</t>
        </is>
      </c>
      <c r="F4" s="15" t="inlineStr">
        <is>
          <t>Teléfono público</t>
        </is>
      </c>
      <c r="G4" s="15" t="inlineStr">
        <is>
          <t>Dirección publicada</t>
        </is>
      </c>
      <c r="H4" s="15" t="inlineStr">
        <is>
          <t>Fecha de consulta</t>
        </is>
      </c>
      <c r="I4" s="15" t="inlineStr">
        <is>
          <t>Indicio de actualidad</t>
        </is>
      </c>
      <c r="J4" s="15" t="inlineStr">
        <is>
          <t>Fuente pública</t>
        </is>
      </c>
      <c r="K4" s="15" t="inlineStr">
        <is>
          <t>Observaciones de la fuente</t>
        </is>
      </c>
      <c r="L4" s="15" t="inlineStr">
        <is>
          <t>Asunto sugerido</t>
        </is>
      </c>
      <c r="M4" s="15" t="inlineStr">
        <is>
          <t>Cuerpo sugerido</t>
        </is>
      </c>
      <c r="N4" s="15" t="inlineStr">
        <is>
          <t>Validación del correo</t>
        </is>
      </c>
      <c r="O4" s="15" t="inlineStr">
        <is>
          <t>Autorización comercial</t>
        </is>
      </c>
      <c r="P4" s="15" t="inlineStr">
        <is>
          <t>Estado de campaña</t>
        </is>
      </c>
      <c r="Q4" s="15" t="inlineStr">
        <is>
          <t>Fecha de envío</t>
        </is>
      </c>
      <c r="R4" s="15" t="inlineStr">
        <is>
          <t>Resultado / notas</t>
        </is>
      </c>
      <c r="S4" s="15" t="inlineStr">
        <is>
          <t>WhatsApp autorizado</t>
        </is>
      </c>
    </row>
    <row r="5" ht="36" customHeight="1">
      <c r="A5" s="21" t="inlineStr">
        <is>
          <t>NX-001</t>
        </is>
      </c>
      <c r="B5" s="17" t="inlineStr">
        <is>
          <t>EL SOL DORADO</t>
        </is>
      </c>
      <c r="C5" s="20" t="inlineStr">
        <is>
          <t>Hoteles y hospedajes</t>
        </is>
      </c>
      <c r="D5" s="17" t="inlineStr">
        <is>
          <t>Hotel / hospedaje</t>
        </is>
      </c>
      <c r="E5" s="17" t="inlineStr">
        <is>
          <t>hotelsoldoradoladorada@gmail.com</t>
        </is>
      </c>
      <c r="F5" s="17" t="inlineStr">
        <is>
          <t>3103726898</t>
        </is>
      </c>
      <c r="G5" s="17" t="inlineStr">
        <is>
          <t>K 1 14 44</t>
        </is>
      </c>
      <c r="H5" s="45" t="n">
        <v>46314</v>
      </c>
      <c r="I5" s="17" t="inlineStr">
        <is>
          <t>Sin señal de actualización específica en el registro fuente; verificar vigencia.</t>
        </is>
      </c>
      <c r="J5" s="17" t="inlineStr">
        <is>
          <t>https://www.datos.gov.co/w/m463-yj48/dneh-mcp2</t>
        </is>
      </c>
      <c r="K5" s="17" t="inlineStr">
        <is>
          <t>Registro del directorio público de hoteles; confirmar vigencia y datos antes de contactar. Dirección conservada en el formato abreviado de la fuente. | Fuente: Prospectos_NeXo_La_Dorada.xlsx</t>
        </is>
      </c>
      <c r="L5" s="19">
        <f>IF($B5="","",SUBSTITUTE(INDEX(Plantillas!$B$6:$B$15,MATCH($C5,Plantillas!$A$6:$A$15,0)),"{NEGOCIO}",$B5))</f>
        <v/>
      </c>
      <c r="M5" s="18">
        <f>IF($B5="","",SUBSTITUTE(INDEX(Plantillas!$C$6:$C$15,MATCH($C5,Plantillas!$A$6:$A$15,0)),"{NEGOCIO}",$B5))</f>
        <v/>
      </c>
      <c r="N5" s="20" t="inlineStr">
        <is>
          <t>Pendiente de verificar</t>
        </is>
      </c>
      <c r="O5" s="20" t="inlineStr">
        <is>
          <t>Pendiente de revisar</t>
        </is>
      </c>
      <c r="P5" s="20" t="inlineStr">
        <is>
          <t>Enviado</t>
        </is>
      </c>
      <c r="Q5" s="46" t="inlineStr">
        <is>
          <t>2026-10-21 14:02:23</t>
        </is>
      </c>
      <c r="R5" s="20" t="inlineStr">
        <is>
          <t>Enviado con éxito a: hotelsoldoradoladorada@gmail.com</t>
        </is>
      </c>
      <c r="S5" s="20" t="inlineStr">
        <is>
          <t>Pendiente</t>
        </is>
      </c>
    </row>
    <row r="6" ht="36" customHeight="1">
      <c r="A6" s="21" t="inlineStr">
        <is>
          <t>NX-002</t>
        </is>
      </c>
      <c r="B6" s="17" t="inlineStr">
        <is>
          <t>MALL SANTANA DEL RÍO</t>
        </is>
      </c>
      <c r="C6" s="20" t="inlineStr">
        <is>
          <t>Hoteles y hospedajes</t>
        </is>
      </c>
      <c r="D6" s="17" t="inlineStr">
        <is>
          <t>Hotel / hospedaje</t>
        </is>
      </c>
      <c r="E6" s="17" t="inlineStr">
        <is>
          <t>reservas@hotelsantanadelrio.com</t>
        </is>
      </c>
      <c r="F6" s="17" t="inlineStr">
        <is>
          <t>3126777777</t>
        </is>
      </c>
      <c r="G6" s="17" t="inlineStr">
        <is>
          <t>C 13 K 1</t>
        </is>
      </c>
      <c r="H6" s="45" t="n">
        <v>46314</v>
      </c>
      <c r="I6" s="17" t="inlineStr">
        <is>
          <t>Sin señal de actualización específica en el registro fuente; verificar vigencia.</t>
        </is>
      </c>
      <c r="J6" s="17" t="inlineStr">
        <is>
          <t>https://www.datos.gov.co/w/m463-yj48/dneh-mcp2</t>
        </is>
      </c>
      <c r="K6" s="17" t="inlineStr">
        <is>
          <t>Registro del directorio público de hoteles; confirmar vigencia y datos antes de contactar. Dirección conservada en el formato abreviado de la fuente. | Fuente: Prospectos_NeXo_La_Dorada.xlsx</t>
        </is>
      </c>
      <c r="L6" s="19">
        <f>IF($B6="","",SUBSTITUTE(INDEX(Plantillas!$B$6:$B$15,MATCH($C6,Plantillas!$A$6:$A$15,0)),"{NEGOCIO}",$B6))</f>
        <v/>
      </c>
      <c r="M6" s="18">
        <f>IF($B6="","",SUBSTITUTE(INDEX(Plantillas!$C$6:$C$15,MATCH($C6,Plantillas!$A$6:$A$15,0)),"{NEGOCIO}",$B6))</f>
        <v/>
      </c>
      <c r="N6" s="20" t="inlineStr">
        <is>
          <t>Pendiente de verificar</t>
        </is>
      </c>
      <c r="O6" s="20" t="inlineStr">
        <is>
          <t>Pendiente de revisar</t>
        </is>
      </c>
      <c r="P6" s="20" t="inlineStr">
        <is>
          <t>Enviado</t>
        </is>
      </c>
      <c r="Q6" s="46" t="inlineStr">
        <is>
          <t>2026-10-21 14:03:26</t>
        </is>
      </c>
      <c r="R6" s="20" t="inlineStr">
        <is>
          <t>Enviado con éxito a: reservas@hotelsantanadelrio.com</t>
        </is>
      </c>
      <c r="S6" s="20" t="inlineStr">
        <is>
          <t>Pendiente</t>
        </is>
      </c>
    </row>
    <row r="7" ht="36" customHeight="1">
      <c r="A7" s="21" t="inlineStr">
        <is>
          <t>NX-003</t>
        </is>
      </c>
      <c r="B7" s="17" t="inlineStr">
        <is>
          <t>APARTAHOTEL AUTOMATICO</t>
        </is>
      </c>
      <c r="C7" s="20" t="inlineStr">
        <is>
          <t>Hoteles y hospedajes</t>
        </is>
      </c>
      <c r="D7" s="17" t="inlineStr">
        <is>
          <t>Hotel / hospedaje</t>
        </is>
      </c>
      <c r="E7" s="17" t="inlineStr">
        <is>
          <t>osorio1023@hotmail.com</t>
        </is>
      </c>
      <c r="F7" s="17" t="inlineStr">
        <is>
          <t>3147936195</t>
        </is>
      </c>
      <c r="G7" s="17" t="inlineStr">
        <is>
          <t>K 2 13 04</t>
        </is>
      </c>
      <c r="H7" s="45" t="n">
        <v>46314</v>
      </c>
      <c r="I7" s="17" t="inlineStr">
        <is>
          <t>Sin señal de actualización específica en el registro fuente; verificar vigencia.</t>
        </is>
      </c>
      <c r="J7" s="17" t="inlineStr">
        <is>
          <t>https://www.datos.gov.co/w/m463-yj48/dneh-mcp2</t>
        </is>
      </c>
      <c r="K7" s="17" t="inlineStr">
        <is>
          <t>Registro del directorio público de hoteles; confirmar vigencia y datos antes de contactar. Dirección conservada en el formato abreviado de la fuente. | Fuente: Prospectos_NeXo_La_Dorada.xlsx</t>
        </is>
      </c>
      <c r="L7" s="19">
        <f>IF($B7="","",SUBSTITUTE(INDEX(Plantillas!$B$6:$B$15,MATCH($C7,Plantillas!$A$6:$A$15,0)),"{NEGOCIO}",$B7))</f>
        <v/>
      </c>
      <c r="M7" s="18">
        <f>IF($B7="","",SUBSTITUTE(INDEX(Plantillas!$C$6:$C$15,MATCH($C7,Plantillas!$A$6:$A$15,0)),"{NEGOCIO}",$B7))</f>
        <v/>
      </c>
      <c r="N7" s="20" t="inlineStr">
        <is>
          <t>Pendiente de verificar</t>
        </is>
      </c>
      <c r="O7" s="20" t="inlineStr">
        <is>
          <t>Pendiente de revisar</t>
        </is>
      </c>
      <c r="P7" s="20" t="inlineStr">
        <is>
          <t>Pendiente de revisión</t>
        </is>
      </c>
      <c r="Q7" s="46" t="n"/>
      <c r="R7" s="20" t="n"/>
      <c r="S7" s="20" t="inlineStr">
        <is>
          <t>Pendiente</t>
        </is>
      </c>
    </row>
    <row r="8" ht="36" customHeight="1">
      <c r="A8" s="21" t="inlineStr">
        <is>
          <t>NX-004</t>
        </is>
      </c>
      <c r="B8" s="17" t="inlineStr">
        <is>
          <t>SOROCAIMA</t>
        </is>
      </c>
      <c r="C8" s="20" t="inlineStr">
        <is>
          <t>Hoteles y hospedajes</t>
        </is>
      </c>
      <c r="D8" s="17" t="inlineStr">
        <is>
          <t>Hotel / hospedaje</t>
        </is>
      </c>
      <c r="E8" s="17" t="inlineStr">
        <is>
          <t>ivanchavarro@hotmail.com</t>
        </is>
      </c>
      <c r="F8" s="17" t="inlineStr">
        <is>
          <t>3218072460</t>
        </is>
      </c>
      <c r="G8" s="17" t="inlineStr">
        <is>
          <t>K 2 14 17</t>
        </is>
      </c>
      <c r="H8" s="45" t="n">
        <v>46314</v>
      </c>
      <c r="I8" s="17" t="inlineStr">
        <is>
          <t>Sin señal de actualización específica en el registro fuente; verificar vigencia.</t>
        </is>
      </c>
      <c r="J8" s="17" t="inlineStr">
        <is>
          <t>https://www.datos.gov.co/w/m463-yj48/dneh-mcp2</t>
        </is>
      </c>
      <c r="K8" s="17" t="inlineStr">
        <is>
          <t>Registro del directorio público de hoteles; confirmar vigencia y datos antes de contactar. Dirección conservada en el formato abreviado de la fuente. | Fuente: Prospectos_NeXo_La_Dorada.xlsx</t>
        </is>
      </c>
      <c r="L8" s="19">
        <f>IF($B8="","",SUBSTITUTE(INDEX(Plantillas!$B$6:$B$15,MATCH($C8,Plantillas!$A$6:$A$15,0)),"{NEGOCIO}",$B8))</f>
        <v/>
      </c>
      <c r="M8" s="18">
        <f>IF($B8="","",SUBSTITUTE(INDEX(Plantillas!$C$6:$C$15,MATCH($C8,Plantillas!$A$6:$A$15,0)),"{NEGOCIO}",$B8))</f>
        <v/>
      </c>
      <c r="N8" s="20" t="inlineStr">
        <is>
          <t>Pendiente de verificar</t>
        </is>
      </c>
      <c r="O8" s="20" t="inlineStr">
        <is>
          <t>Pendiente de revisar</t>
        </is>
      </c>
      <c r="P8" s="20" t="inlineStr">
        <is>
          <t>Pendiente de revisión</t>
        </is>
      </c>
      <c r="Q8" s="46" t="n"/>
      <c r="R8" s="20" t="n"/>
      <c r="S8" s="20" t="inlineStr">
        <is>
          <t>Pendiente</t>
        </is>
      </c>
    </row>
    <row r="9" ht="36" customHeight="1">
      <c r="A9" s="21" t="inlineStr">
        <is>
          <t>NX-005</t>
        </is>
      </c>
      <c r="B9" s="17" t="inlineStr">
        <is>
          <t>RESORT COLOMBIA</t>
        </is>
      </c>
      <c r="C9" s="20" t="inlineStr">
        <is>
          <t>Hoteles y hospedajes</t>
        </is>
      </c>
      <c r="D9" s="17" t="inlineStr">
        <is>
          <t>Hotel / hospedaje</t>
        </is>
      </c>
      <c r="E9" s="17" t="inlineStr">
        <is>
          <t>resortcolombia@hotmail.com</t>
        </is>
      </c>
      <c r="F9" s="17" t="inlineStr">
        <is>
          <t>3107685708</t>
        </is>
      </c>
      <c r="G9" s="17" t="inlineStr">
        <is>
          <t>K 3 13 40</t>
        </is>
      </c>
      <c r="H9" s="45" t="n">
        <v>46314</v>
      </c>
      <c r="I9" s="17" t="inlineStr">
        <is>
          <t>Sin señal de actualización específica en el registro fuente; verificar vigencia.</t>
        </is>
      </c>
      <c r="J9" s="17" t="inlineStr">
        <is>
          <t>https://www.datos.gov.co/w/m463-yj48/dneh-mcp2</t>
        </is>
      </c>
      <c r="K9" s="17" t="inlineStr">
        <is>
          <t>Registro del directorio público de hoteles; confirmar vigencia y datos antes de contactar. Dirección conservada en el formato abreviado de la fuente. | Fuente: Prospectos_NeXo_La_Dorada.xlsx</t>
        </is>
      </c>
      <c r="L9" s="19">
        <f>IF($B9="","",SUBSTITUTE(INDEX(Plantillas!$B$6:$B$15,MATCH($C9,Plantillas!$A$6:$A$15,0)),"{NEGOCIO}",$B9))</f>
        <v/>
      </c>
      <c r="M9" s="18">
        <f>IF($B9="","",SUBSTITUTE(INDEX(Plantillas!$C$6:$C$15,MATCH($C9,Plantillas!$A$6:$A$15,0)),"{NEGOCIO}",$B9))</f>
        <v/>
      </c>
      <c r="N9" s="20" t="inlineStr">
        <is>
          <t>Pendiente de verificar</t>
        </is>
      </c>
      <c r="O9" s="20" t="inlineStr">
        <is>
          <t>Pendiente de revisar</t>
        </is>
      </c>
      <c r="P9" s="20" t="inlineStr">
        <is>
          <t>Pendiente de revisión</t>
        </is>
      </c>
      <c r="Q9" s="46" t="n"/>
      <c r="R9" s="20" t="n"/>
      <c r="S9" s="20" t="inlineStr">
        <is>
          <t>Pendiente</t>
        </is>
      </c>
    </row>
    <row r="10" ht="36" customHeight="1">
      <c r="A10" s="21" t="inlineStr">
        <is>
          <t>NX-006</t>
        </is>
      </c>
      <c r="B10" s="17" t="inlineStr">
        <is>
          <t>EL MESON</t>
        </is>
      </c>
      <c r="C10" s="20" t="inlineStr">
        <is>
          <t>Hoteles y hospedajes</t>
        </is>
      </c>
      <c r="D10" s="17" t="inlineStr">
        <is>
          <t>Hotel / hospedaje</t>
        </is>
      </c>
      <c r="E10" s="17" t="inlineStr">
        <is>
          <t>gerencia@hotelelmeson.com</t>
        </is>
      </c>
      <c r="F10" s="17" t="inlineStr">
        <is>
          <t>3146000000</t>
        </is>
      </c>
      <c r="G10" s="17" t="inlineStr">
        <is>
          <t>K 3 15 61</t>
        </is>
      </c>
      <c r="H10" s="45" t="n">
        <v>46314</v>
      </c>
      <c r="I10" s="17" t="inlineStr">
        <is>
          <t>Sin señal de actualización específica en el registro fuente; verificar vigencia.</t>
        </is>
      </c>
      <c r="J10" s="17" t="inlineStr">
        <is>
          <t>https://www.datos.gov.co/w/m463-yj48/dneh-mcp2</t>
        </is>
      </c>
      <c r="K10" s="17" t="inlineStr">
        <is>
          <t>Registro del directorio público de hoteles; confirmar vigencia y datos antes de contactar. Dirección conservada en el formato abreviado de la fuente. | Fuente: Prospectos_NeXo_La_Dorada.xlsx</t>
        </is>
      </c>
      <c r="L10" s="19">
        <f>IF($B10="","",SUBSTITUTE(INDEX(Plantillas!$B$6:$B$15,MATCH($C10,Plantillas!$A$6:$A$15,0)),"{NEGOCIO}",$B10))</f>
        <v/>
      </c>
      <c r="M10" s="18">
        <f>IF($B10="","",SUBSTITUTE(INDEX(Plantillas!$C$6:$C$15,MATCH($C10,Plantillas!$A$6:$A$15,0)),"{NEGOCIO}",$B10))</f>
        <v/>
      </c>
      <c r="N10" s="20" t="inlineStr">
        <is>
          <t>Pendiente de verificar</t>
        </is>
      </c>
      <c r="O10" s="20" t="inlineStr">
        <is>
          <t>Pendiente de revisar</t>
        </is>
      </c>
      <c r="P10" s="20" t="inlineStr">
        <is>
          <t>Pendiente de revisión</t>
        </is>
      </c>
      <c r="Q10" s="46" t="n"/>
      <c r="R10" s="20" t="n"/>
      <c r="S10" s="20" t="inlineStr">
        <is>
          <t>Pendiente</t>
        </is>
      </c>
    </row>
    <row r="11" ht="36" customHeight="1">
      <c r="A11" s="21" t="inlineStr">
        <is>
          <t>NX-007</t>
        </is>
      </c>
      <c r="B11" s="17" t="inlineStr">
        <is>
          <t>BOLÍVAR PLAZA</t>
        </is>
      </c>
      <c r="C11" s="20" t="inlineStr">
        <is>
          <t>Hoteles y hospedajes</t>
        </is>
      </c>
      <c r="D11" s="17" t="inlineStr">
        <is>
          <t>Hotel / hospedaje</t>
        </is>
      </c>
      <c r="E11" s="17" t="inlineStr">
        <is>
          <t>reservas@hotelesbolivarplaza.com</t>
        </is>
      </c>
      <c r="F11" s="17" t="inlineStr">
        <is>
          <t>3218019705</t>
        </is>
      </c>
      <c r="G11" s="17" t="inlineStr">
        <is>
          <t>C 16 2 38</t>
        </is>
      </c>
      <c r="H11" s="45" t="n">
        <v>46314</v>
      </c>
      <c r="I11" s="17" t="inlineStr">
        <is>
          <t>Sin señal de actualización específica en el registro fuente; verificar vigencia.</t>
        </is>
      </c>
      <c r="J11" s="17" t="inlineStr">
        <is>
          <t>https://www.datos.gov.co/w/m463-yj48/dneh-mcp2</t>
        </is>
      </c>
      <c r="K11" s="17" t="inlineStr">
        <is>
          <t>Registro del directorio público de hoteles; confirmar vigencia y datos antes de contactar. Dirección conservada en el formato abreviado de la fuente. | Fuente: Prospectos_NeXo_La_Dorada.xlsx</t>
        </is>
      </c>
      <c r="L11" s="19">
        <f>IF($B11="","",SUBSTITUTE(INDEX(Plantillas!$B$6:$B$15,MATCH($C11,Plantillas!$A$6:$A$15,0)),"{NEGOCIO}",$B11))</f>
        <v/>
      </c>
      <c r="M11" s="18">
        <f>IF($B11="","",SUBSTITUTE(INDEX(Plantillas!$C$6:$C$15,MATCH($C11,Plantillas!$A$6:$A$15,0)),"{NEGOCIO}",$B11))</f>
        <v/>
      </c>
      <c r="N11" s="20" t="inlineStr">
        <is>
          <t>Pendiente de verificar</t>
        </is>
      </c>
      <c r="O11" s="20" t="inlineStr">
        <is>
          <t>Pendiente de revisar</t>
        </is>
      </c>
      <c r="P11" s="20" t="inlineStr">
        <is>
          <t>Pendiente de revisión</t>
        </is>
      </c>
      <c r="Q11" s="46" t="n"/>
      <c r="R11" s="20" t="n"/>
      <c r="S11" s="20" t="inlineStr">
        <is>
          <t>Pendiente</t>
        </is>
      </c>
    </row>
    <row r="12" ht="36" customHeight="1">
      <c r="A12" s="21" t="inlineStr">
        <is>
          <t>NX-008</t>
        </is>
      </c>
      <c r="B12" s="17" t="inlineStr">
        <is>
          <t>MI CASITA</t>
        </is>
      </c>
      <c r="C12" s="20" t="inlineStr">
        <is>
          <t>Hoteles y hospedajes</t>
        </is>
      </c>
      <c r="D12" s="17" t="inlineStr">
        <is>
          <t>Hotel / hospedaje</t>
        </is>
      </c>
      <c r="E12" s="17" t="inlineStr">
        <is>
          <t>hotelfamiliarmicasitajm1975@gmail.com</t>
        </is>
      </c>
      <c r="F12" s="17" t="inlineStr">
        <is>
          <t>3138107714</t>
        </is>
      </c>
      <c r="G12" s="17" t="inlineStr">
        <is>
          <t>C 16 2 56</t>
        </is>
      </c>
      <c r="H12" s="45" t="n">
        <v>46314</v>
      </c>
      <c r="I12" s="17" t="inlineStr">
        <is>
          <t>Sin señal de actualización específica en el registro fuente; verificar vigencia.</t>
        </is>
      </c>
      <c r="J12" s="17" t="inlineStr">
        <is>
          <t>https://www.datos.gov.co/w/m463-yj48/dneh-mcp2</t>
        </is>
      </c>
      <c r="K12" s="17" t="inlineStr">
        <is>
          <t>Registro del directorio público de hoteles; confirmar vigencia y datos antes de contactar. Dirección conservada en el formato abreviado de la fuente. | Fuente: Prospectos_NeXo_La_Dorada.xlsx</t>
        </is>
      </c>
      <c r="L12" s="19">
        <f>IF($B12="","",SUBSTITUTE(INDEX(Plantillas!$B$6:$B$15,MATCH($C12,Plantillas!$A$6:$A$15,0)),"{NEGOCIO}",$B12))</f>
        <v/>
      </c>
      <c r="M12" s="18">
        <f>IF($B12="","",SUBSTITUTE(INDEX(Plantillas!$C$6:$C$15,MATCH($C12,Plantillas!$A$6:$A$15,0)),"{NEGOCIO}",$B12))</f>
        <v/>
      </c>
      <c r="N12" s="20" t="inlineStr">
        <is>
          <t>Pendiente de verificar</t>
        </is>
      </c>
      <c r="O12" s="20" t="inlineStr">
        <is>
          <t>Pendiente de revisar</t>
        </is>
      </c>
      <c r="P12" s="20" t="inlineStr">
        <is>
          <t>Pendiente de revisión</t>
        </is>
      </c>
      <c r="Q12" s="46" t="n"/>
      <c r="R12" s="20" t="n"/>
      <c r="S12" s="20" t="inlineStr">
        <is>
          <t>Pendiente</t>
        </is>
      </c>
    </row>
    <row r="13" ht="36" customHeight="1">
      <c r="A13" s="21" t="inlineStr">
        <is>
          <t>NX-009</t>
        </is>
      </c>
      <c r="B13" s="17" t="inlineStr">
        <is>
          <t>LUMARAC</t>
        </is>
      </c>
      <c r="C13" s="20" t="inlineStr">
        <is>
          <t>Hoteles y hospedajes</t>
        </is>
      </c>
      <c r="D13" s="17" t="inlineStr">
        <is>
          <t>Hotel / hospedaje</t>
        </is>
      </c>
      <c r="E13" s="17" t="inlineStr">
        <is>
          <t>niercusa@hotmail.com</t>
        </is>
      </c>
      <c r="F13" s="17" t="inlineStr">
        <is>
          <t>3146516110</t>
        </is>
      </c>
      <c r="G13" s="17" t="inlineStr">
        <is>
          <t>C 16 2 48</t>
        </is>
      </c>
      <c r="H13" s="45" t="n">
        <v>46314</v>
      </c>
      <c r="I13" s="17" t="inlineStr">
        <is>
          <t>Sin señal de actualización específica en el registro fuente; verificar vigencia.</t>
        </is>
      </c>
      <c r="J13" s="17" t="inlineStr">
        <is>
          <t>https://www.datos.gov.co/w/m463-yj48/dneh-mcp2</t>
        </is>
      </c>
      <c r="K13" s="17" t="inlineStr">
        <is>
          <t>Registro del directorio público de hoteles; confirmar vigencia y datos antes de contactar. Dirección conservada en el formato abreviado de la fuente. | Fuente: Prospectos_NeXo_La_Dorada.xlsx</t>
        </is>
      </c>
      <c r="L13" s="19">
        <f>IF($B13="","",SUBSTITUTE(INDEX(Plantillas!$B$6:$B$15,MATCH($C13,Plantillas!$A$6:$A$15,0)),"{NEGOCIO}",$B13))</f>
        <v/>
      </c>
      <c r="M13" s="18">
        <f>IF($B13="","",SUBSTITUTE(INDEX(Plantillas!$C$6:$C$15,MATCH($C13,Plantillas!$A$6:$A$15,0)),"{NEGOCIO}",$B13))</f>
        <v/>
      </c>
      <c r="N13" s="20" t="inlineStr">
        <is>
          <t>Pendiente de verificar</t>
        </is>
      </c>
      <c r="O13" s="20" t="inlineStr">
        <is>
          <t>Pendiente de revisar</t>
        </is>
      </c>
      <c r="P13" s="20" t="inlineStr">
        <is>
          <t>Pendiente de revisión</t>
        </is>
      </c>
      <c r="Q13" s="46" t="n"/>
      <c r="R13" s="20" t="n"/>
      <c r="S13" s="20" t="inlineStr">
        <is>
          <t>Pendiente</t>
        </is>
      </c>
    </row>
    <row r="14" ht="36" customHeight="1">
      <c r="A14" s="21" t="inlineStr">
        <is>
          <t>NX-010</t>
        </is>
      </c>
      <c r="B14" s="17" t="inlineStr">
        <is>
          <t>EL PALACIO</t>
        </is>
      </c>
      <c r="C14" s="20" t="inlineStr">
        <is>
          <t>Hoteles y hospedajes</t>
        </is>
      </c>
      <c r="D14" s="17" t="inlineStr">
        <is>
          <t>Hotel / hospedaje</t>
        </is>
      </c>
      <c r="E14" s="17" t="inlineStr">
        <is>
          <t>robinsonagudelo2010@gmail.com</t>
        </is>
      </c>
      <c r="F14" s="17" t="inlineStr">
        <is>
          <t>3228347900</t>
        </is>
      </c>
      <c r="G14" s="17" t="inlineStr">
        <is>
          <t>K 2 16 25</t>
        </is>
      </c>
      <c r="H14" s="45" t="n">
        <v>46314</v>
      </c>
      <c r="I14" s="17" t="inlineStr">
        <is>
          <t>Sin señal de actualización específica en el registro fuente; verificar vigencia.</t>
        </is>
      </c>
      <c r="J14" s="17" t="inlineStr">
        <is>
          <t>https://www.datos.gov.co/w/m463-yj48/dneh-mcp2</t>
        </is>
      </c>
      <c r="K14" s="17" t="inlineStr">
        <is>
          <t>Registro del directorio público de hoteles; confirmar vigencia y datos antes de contactar. Dirección conservada en el formato abreviado de la fuente. | Fuente: Prospectos_NeXo_La_Dorada.xlsx</t>
        </is>
      </c>
      <c r="L14" s="19">
        <f>IF($B14="","",SUBSTITUTE(INDEX(Plantillas!$B$6:$B$15,MATCH($C14,Plantillas!$A$6:$A$15,0)),"{NEGOCIO}",$B14))</f>
        <v/>
      </c>
      <c r="M14" s="18">
        <f>IF($B14="","",SUBSTITUTE(INDEX(Plantillas!$C$6:$C$15,MATCH($C14,Plantillas!$A$6:$A$15,0)),"{NEGOCIO}",$B14))</f>
        <v/>
      </c>
      <c r="N14" s="20" t="inlineStr">
        <is>
          <t>Pendiente de verificar</t>
        </is>
      </c>
      <c r="O14" s="20" t="inlineStr">
        <is>
          <t>Pendiente de revisar</t>
        </is>
      </c>
      <c r="P14" s="20" t="inlineStr">
        <is>
          <t>Pendiente de revisión</t>
        </is>
      </c>
      <c r="Q14" s="46" t="n"/>
      <c r="R14" s="20" t="n"/>
      <c r="S14" s="20" t="inlineStr">
        <is>
          <t>Pendiente</t>
        </is>
      </c>
    </row>
    <row r="15" ht="36" customHeight="1">
      <c r="A15" s="21" t="inlineStr">
        <is>
          <t>NX-011</t>
        </is>
      </c>
      <c r="B15" s="17" t="inlineStr">
        <is>
          <t>BELLA ISA</t>
        </is>
      </c>
      <c r="C15" s="20" t="inlineStr">
        <is>
          <t>Hoteles y hospedajes</t>
        </is>
      </c>
      <c r="D15" s="17" t="inlineStr">
        <is>
          <t>Hotel / hospedaje</t>
        </is>
      </c>
      <c r="E15" s="17" t="inlineStr">
        <is>
          <t>hotelbellaisa@gmail.com</t>
        </is>
      </c>
      <c r="F15" s="17" t="inlineStr">
        <is>
          <t>3205579451</t>
        </is>
      </c>
      <c r="G15" s="17" t="inlineStr">
        <is>
          <t>K 2 18 33</t>
        </is>
      </c>
      <c r="H15" s="45" t="n">
        <v>46314</v>
      </c>
      <c r="I15" s="17" t="inlineStr">
        <is>
          <t>Sin señal de actualización específica en el registro fuente; verificar vigencia.</t>
        </is>
      </c>
      <c r="J15" s="17" t="inlineStr">
        <is>
          <t>https://www.datos.gov.co/w/m463-yj48/dneh-mcp2</t>
        </is>
      </c>
      <c r="K15" s="17" t="inlineStr">
        <is>
          <t>Registro del directorio público de hoteles; confirmar vigencia y datos antes de contactar. Dirección conservada en el formato abreviado de la fuente. | Fuente: Prospectos_NeXo_La_Dorada.xlsx</t>
        </is>
      </c>
      <c r="L15" s="19">
        <f>IF($B15="","",SUBSTITUTE(INDEX(Plantillas!$B$6:$B$15,MATCH($C15,Plantillas!$A$6:$A$15,0)),"{NEGOCIO}",$B15))</f>
        <v/>
      </c>
      <c r="M15" s="18">
        <f>IF($B15="","",SUBSTITUTE(INDEX(Plantillas!$C$6:$C$15,MATCH($C15,Plantillas!$A$6:$A$15,0)),"{NEGOCIO}",$B15))</f>
        <v/>
      </c>
      <c r="N15" s="20" t="inlineStr">
        <is>
          <t>Pendiente de verificar</t>
        </is>
      </c>
      <c r="O15" s="20" t="inlineStr">
        <is>
          <t>Pendiente de revisar</t>
        </is>
      </c>
      <c r="P15" s="20" t="inlineStr">
        <is>
          <t>Pendiente de revisión</t>
        </is>
      </c>
      <c r="Q15" s="46" t="n"/>
      <c r="R15" s="20" t="n"/>
      <c r="S15" s="20" t="inlineStr">
        <is>
          <t>Pendiente</t>
        </is>
      </c>
    </row>
    <row r="16" ht="36" customHeight="1">
      <c r="A16" s="21" t="inlineStr">
        <is>
          <t>NX-012</t>
        </is>
      </c>
      <c r="B16" s="17" t="inlineStr">
        <is>
          <t>COUNTRY PLAZA</t>
        </is>
      </c>
      <c r="C16" s="20" t="inlineStr">
        <is>
          <t>Hoteles y hospedajes</t>
        </is>
      </c>
      <c r="D16" s="17" t="inlineStr">
        <is>
          <t>Hotel / hospedaje</t>
        </is>
      </c>
      <c r="E16" s="17" t="inlineStr">
        <is>
          <t>jhonvivarez@gmail.com</t>
        </is>
      </c>
      <c r="F16" s="17" t="inlineStr">
        <is>
          <t>3218020900</t>
        </is>
      </c>
      <c r="G16" s="17" t="inlineStr">
        <is>
          <t>K 2 16 57</t>
        </is>
      </c>
      <c r="H16" s="45" t="n">
        <v>46314</v>
      </c>
      <c r="I16" s="17" t="inlineStr">
        <is>
          <t>Sin señal de actualización específica en el registro fuente; verificar vigencia.</t>
        </is>
      </c>
      <c r="J16" s="17" t="inlineStr">
        <is>
          <t>https://www.datos.gov.co/w/m463-yj48/dneh-mcp2</t>
        </is>
      </c>
      <c r="K16" s="17" t="inlineStr">
        <is>
          <t>Registro del directorio público de hoteles; confirmar vigencia y datos antes de contactar. Dirección conservada en el formato abreviado de la fuente. | Fuente: Prospectos_NeXo_La_Dorada.xlsx</t>
        </is>
      </c>
      <c r="L16" s="19">
        <f>IF($B16="","",SUBSTITUTE(INDEX(Plantillas!$B$6:$B$15,MATCH($C16,Plantillas!$A$6:$A$15,0)),"{NEGOCIO}",$B16))</f>
        <v/>
      </c>
      <c r="M16" s="18">
        <f>IF($B16="","",SUBSTITUTE(INDEX(Plantillas!$C$6:$C$15,MATCH($C16,Plantillas!$A$6:$A$15,0)),"{NEGOCIO}",$B16))</f>
        <v/>
      </c>
      <c r="N16" s="20" t="inlineStr">
        <is>
          <t>Pendiente de verificar</t>
        </is>
      </c>
      <c r="O16" s="20" t="inlineStr">
        <is>
          <t>Pendiente de revisar</t>
        </is>
      </c>
      <c r="P16" s="20" t="inlineStr">
        <is>
          <t>Pendiente de revisión</t>
        </is>
      </c>
      <c r="Q16" s="46" t="n"/>
      <c r="R16" s="20" t="n"/>
      <c r="S16" s="20" t="inlineStr">
        <is>
          <t>Pendiente</t>
        </is>
      </c>
    </row>
    <row r="17" ht="36" customHeight="1">
      <c r="A17" s="21" t="inlineStr">
        <is>
          <t>NX-013</t>
        </is>
      </c>
      <c r="B17" s="17" t="inlineStr">
        <is>
          <t>RESIDENCIAS BOGOTÁ</t>
        </is>
      </c>
      <c r="C17" s="20" t="inlineStr">
        <is>
          <t>Hoteles y hospedajes</t>
        </is>
      </c>
      <c r="D17" s="17" t="inlineStr">
        <is>
          <t>Hotel / hospedaje</t>
        </is>
      </c>
      <c r="E17" s="17" t="inlineStr">
        <is>
          <t>evelioaaron12@gmail.com</t>
        </is>
      </c>
      <c r="F17" s="17" t="inlineStr">
        <is>
          <t>3147027029</t>
        </is>
      </c>
      <c r="G17" s="17" t="inlineStr">
        <is>
          <t>K 2 20 23</t>
        </is>
      </c>
      <c r="H17" s="45" t="n">
        <v>46314</v>
      </c>
      <c r="I17" s="17" t="inlineStr">
        <is>
          <t>Sin señal de actualización específica en el registro fuente; verificar vigencia.</t>
        </is>
      </c>
      <c r="J17" s="17" t="inlineStr">
        <is>
          <t>https://www.datos.gov.co/w/m463-yj48/dneh-mcp2</t>
        </is>
      </c>
      <c r="K17" s="17" t="inlineStr">
        <is>
          <t>Registro del directorio público de hoteles; confirmar vigencia y datos antes de contactar. Dirección conservada en el formato abreviado de la fuente. | Fuente: Prospectos_NeXo_La_Dorada.xlsx</t>
        </is>
      </c>
      <c r="L17" s="19">
        <f>IF($B17="","",SUBSTITUTE(INDEX(Plantillas!$B$6:$B$15,MATCH($C17,Plantillas!$A$6:$A$15,0)),"{NEGOCIO}",$B17))</f>
        <v/>
      </c>
      <c r="M17" s="18">
        <f>IF($B17="","",SUBSTITUTE(INDEX(Plantillas!$C$6:$C$15,MATCH($C17,Plantillas!$A$6:$A$15,0)),"{NEGOCIO}",$B17))</f>
        <v/>
      </c>
      <c r="N17" s="20" t="inlineStr">
        <is>
          <t>Pendiente de verificar</t>
        </is>
      </c>
      <c r="O17" s="20" t="inlineStr">
        <is>
          <t>Pendiente de revisar</t>
        </is>
      </c>
      <c r="P17" s="20" t="inlineStr">
        <is>
          <t>Pendiente de revisión</t>
        </is>
      </c>
      <c r="Q17" s="46" t="n"/>
      <c r="R17" s="20" t="n"/>
      <c r="S17" s="20" t="inlineStr">
        <is>
          <t>Pendiente</t>
        </is>
      </c>
    </row>
    <row r="18" ht="36" customHeight="1">
      <c r="A18" s="21" t="inlineStr">
        <is>
          <t>NX-014</t>
        </is>
      </c>
      <c r="B18" s="17" t="inlineStr">
        <is>
          <t>RUTA DORADA</t>
        </is>
      </c>
      <c r="C18" s="20" t="inlineStr">
        <is>
          <t>Hoteles y hospedajes</t>
        </is>
      </c>
      <c r="D18" s="17" t="inlineStr">
        <is>
          <t>Hotel / hospedaje</t>
        </is>
      </c>
      <c r="E18" s="17" t="n"/>
      <c r="F18" s="17" t="inlineStr">
        <is>
          <t>3218007674</t>
        </is>
      </c>
      <c r="G18" s="17" t="inlineStr">
        <is>
          <t>C 17 2 40</t>
        </is>
      </c>
      <c r="H18" s="45" t="n">
        <v>46314</v>
      </c>
      <c r="I18" s="17" t="inlineStr">
        <is>
          <t>Sin señal de actualización específica en el registro fuente; verificar vigencia.</t>
        </is>
      </c>
      <c r="J18" s="17" t="inlineStr">
        <is>
          <t>https://www.datos.gov.co/w/m463-yj48/dneh-mcp2</t>
        </is>
      </c>
      <c r="K18" s="17" t="inlineStr">
        <is>
          <t>Registro del directorio público de hoteles; confirmar vigencia y datos antes de contactar. Dirección conservada en el formato abreviado de la fuente. | Fuente: Prospectos_NeXo_La_Dorada.xlsx</t>
        </is>
      </c>
      <c r="L18" s="19">
        <f>IF($B18="","",SUBSTITUTE(INDEX(Plantillas!$B$6:$B$15,MATCH($C18,Plantillas!$A$6:$A$15,0)),"{NEGOCIO}",$B18))</f>
        <v/>
      </c>
      <c r="M18" s="18">
        <f>IF($B18="","",SUBSTITUTE(INDEX(Plantillas!$C$6:$C$15,MATCH($C18,Plantillas!$A$6:$A$15,0)),"{NEGOCIO}",$B18))</f>
        <v/>
      </c>
      <c r="N18" s="20" t="inlineStr">
        <is>
          <t>Sin correo público</t>
        </is>
      </c>
      <c r="O18" s="20" t="inlineStr">
        <is>
          <t>Pendiente de revisar</t>
        </is>
      </c>
      <c r="P18" s="20" t="inlineStr">
        <is>
          <t>Pendiente de revisión</t>
        </is>
      </c>
      <c r="Q18" s="46" t="n"/>
      <c r="R18" s="20" t="n"/>
      <c r="S18" s="20" t="inlineStr">
        <is>
          <t>Pendiente</t>
        </is>
      </c>
    </row>
    <row r="19" ht="36" customHeight="1">
      <c r="A19" s="21" t="inlineStr">
        <is>
          <t>NX-015</t>
        </is>
      </c>
      <c r="B19" s="17" t="inlineStr">
        <is>
          <t>EL PORTAL DE LA DORADA</t>
        </is>
      </c>
      <c r="C19" s="20" t="inlineStr">
        <is>
          <t>Hoteles y hospedajes</t>
        </is>
      </c>
      <c r="D19" s="17" t="inlineStr">
        <is>
          <t>Hotel / hospedaje</t>
        </is>
      </c>
      <c r="E19" s="17" t="inlineStr">
        <is>
          <t>gerhotelelportaldeladorada@gmail.com</t>
        </is>
      </c>
      <c r="F19" s="17" t="inlineStr">
        <is>
          <t>3218117925</t>
        </is>
      </c>
      <c r="G19" s="17" t="inlineStr">
        <is>
          <t>K 3 17 43</t>
        </is>
      </c>
      <c r="H19" s="45" t="n">
        <v>46314</v>
      </c>
      <c r="I19" s="17" t="inlineStr">
        <is>
          <t>Sin señal de actualización específica en el registro fuente; verificar vigencia.</t>
        </is>
      </c>
      <c r="J19" s="17" t="inlineStr">
        <is>
          <t>https://www.datos.gov.co/w/m463-yj48/dneh-mcp2</t>
        </is>
      </c>
      <c r="K19" s="17" t="inlineStr">
        <is>
          <t>Registro del directorio público de hoteles; confirmar vigencia y datos antes de contactar. Dirección conservada en el formato abreviado de la fuente. Cotelco publica una variante de correo/dirección; verificar el dato. | Fuente: Prospectos_NeXo_La_Dorada.xlsx</t>
        </is>
      </c>
      <c r="L19" s="19">
        <f>IF($B19="","",SUBSTITUTE(INDEX(Plantillas!$B$6:$B$15,MATCH($C19,Plantillas!$A$6:$A$15,0)),"{NEGOCIO}",$B19))</f>
        <v/>
      </c>
      <c r="M19" s="18">
        <f>IF($B19="","",SUBSTITUTE(INDEX(Plantillas!$C$6:$C$15,MATCH($C19,Plantillas!$A$6:$A$15,0)),"{NEGOCIO}",$B19))</f>
        <v/>
      </c>
      <c r="N19" s="20" t="inlineStr">
        <is>
          <t>Pendiente de verificar</t>
        </is>
      </c>
      <c r="O19" s="20" t="inlineStr">
        <is>
          <t>Pendiente de revisar</t>
        </is>
      </c>
      <c r="P19" s="20" t="inlineStr">
        <is>
          <t>Pendiente de revisión</t>
        </is>
      </c>
      <c r="Q19" s="46" t="n"/>
      <c r="R19" s="20" t="n"/>
      <c r="S19" s="20" t="inlineStr">
        <is>
          <t>Pendiente</t>
        </is>
      </c>
    </row>
    <row r="20" ht="36" customHeight="1">
      <c r="A20" s="21" t="inlineStr">
        <is>
          <t>NX-016</t>
        </is>
      </c>
      <c r="B20" s="17" t="inlineStr">
        <is>
          <t>EL PALMAR DE LA DORADA</t>
        </is>
      </c>
      <c r="C20" s="20" t="inlineStr">
        <is>
          <t>Hoteles y hospedajes</t>
        </is>
      </c>
      <c r="D20" s="17" t="inlineStr">
        <is>
          <t>Hotel / hospedaje</t>
        </is>
      </c>
      <c r="E20" s="17" t="inlineStr">
        <is>
          <t>olaya1953@hotmail.com</t>
        </is>
      </c>
      <c r="F20" s="17" t="inlineStr">
        <is>
          <t>3116091174</t>
        </is>
      </c>
      <c r="G20" s="17" t="inlineStr">
        <is>
          <t>SALIDA HONDA</t>
        </is>
      </c>
      <c r="H20" s="45" t="n">
        <v>46314</v>
      </c>
      <c r="I20" s="17" t="inlineStr">
        <is>
          <t>Sin señal de actualización específica en el registro fuente; verificar vigencia.</t>
        </is>
      </c>
      <c r="J20" s="17" t="inlineStr">
        <is>
          <t>https://www.datos.gov.co/w/m463-yj48/dneh-mcp2</t>
        </is>
      </c>
      <c r="K20" s="17" t="inlineStr">
        <is>
          <t>Registro del directorio público de hoteles; confirmar vigencia y datos antes de contactar. Dirección conservada en el formato abreviado de la fuente. | Fuente: Prospectos_NeXo_La_Dorada.xlsx</t>
        </is>
      </c>
      <c r="L20" s="19">
        <f>IF($B20="","",SUBSTITUTE(INDEX(Plantillas!$B$6:$B$15,MATCH($C20,Plantillas!$A$6:$A$15,0)),"{NEGOCIO}",$B20))</f>
        <v/>
      </c>
      <c r="M20" s="18">
        <f>IF($B20="","",SUBSTITUTE(INDEX(Plantillas!$C$6:$C$15,MATCH($C20,Plantillas!$A$6:$A$15,0)),"{NEGOCIO}",$B20))</f>
        <v/>
      </c>
      <c r="N20" s="20" t="inlineStr">
        <is>
          <t>Pendiente de verificar</t>
        </is>
      </c>
      <c r="O20" s="20" t="inlineStr">
        <is>
          <t>Pendiente de revisar</t>
        </is>
      </c>
      <c r="P20" s="20" t="inlineStr">
        <is>
          <t>Pendiente de revisión</t>
        </is>
      </c>
      <c r="Q20" s="46" t="n"/>
      <c r="R20" s="20" t="n"/>
      <c r="S20" s="20" t="inlineStr">
        <is>
          <t>Pendiente</t>
        </is>
      </c>
    </row>
    <row r="21" ht="36" customHeight="1">
      <c r="A21" s="21" t="inlineStr">
        <is>
          <t>NX-017</t>
        </is>
      </c>
      <c r="B21" s="17" t="inlineStr">
        <is>
          <t>LA MELISSA</t>
        </is>
      </c>
      <c r="C21" s="20" t="inlineStr">
        <is>
          <t>Hoteles y hospedajes</t>
        </is>
      </c>
      <c r="D21" s="17" t="inlineStr">
        <is>
          <t>Hotel / hospedaje</t>
        </is>
      </c>
      <c r="E21" s="17" t="inlineStr">
        <is>
          <t>lamelissa20040@yahoo.es</t>
        </is>
      </c>
      <c r="F21" s="17" t="inlineStr">
        <is>
          <t>3103522280</t>
        </is>
      </c>
      <c r="G21" s="17" t="inlineStr">
        <is>
          <t>C 11 K 15</t>
        </is>
      </c>
      <c r="H21" s="45" t="n">
        <v>46314</v>
      </c>
      <c r="I21" s="17" t="inlineStr">
        <is>
          <t>Sin señal de actualización específica en el registro fuente; verificar vigencia.</t>
        </is>
      </c>
      <c r="J21" s="17" t="inlineStr">
        <is>
          <t>https://www.datos.gov.co/w/m463-yj48/dneh-mcp2</t>
        </is>
      </c>
      <c r="K21" s="17" t="inlineStr">
        <is>
          <t>Registro del directorio público de hoteles; confirmar vigencia y datos antes de contactar. Dirección conservada en el formato abreviado de la fuente. | Fuente: Prospectos_NeXo_La_Dorada.xlsx</t>
        </is>
      </c>
      <c r="L21" s="19">
        <f>IF($B21="","",SUBSTITUTE(INDEX(Plantillas!$B$6:$B$15,MATCH($C21,Plantillas!$A$6:$A$15,0)),"{NEGOCIO}",$B21))</f>
        <v/>
      </c>
      <c r="M21" s="18">
        <f>IF($B21="","",SUBSTITUTE(INDEX(Plantillas!$C$6:$C$15,MATCH($C21,Plantillas!$A$6:$A$15,0)),"{NEGOCIO}",$B21))</f>
        <v/>
      </c>
      <c r="N21" s="20" t="inlineStr">
        <is>
          <t>Pendiente de verificar</t>
        </is>
      </c>
      <c r="O21" s="20" t="inlineStr">
        <is>
          <t>Pendiente de revisar</t>
        </is>
      </c>
      <c r="P21" s="20" t="inlineStr">
        <is>
          <t>Pendiente de revisión</t>
        </is>
      </c>
      <c r="Q21" s="46" t="n"/>
      <c r="R21" s="20" t="n"/>
      <c r="S21" s="20" t="inlineStr">
        <is>
          <t>Pendiente</t>
        </is>
      </c>
    </row>
    <row r="22" ht="36" customHeight="1">
      <c r="A22" s="21" t="inlineStr">
        <is>
          <t>NX-018</t>
        </is>
      </c>
      <c r="B22" s="17" t="inlineStr">
        <is>
          <t>BRISAS DEL RECUERDO</t>
        </is>
      </c>
      <c r="C22" s="20" t="inlineStr">
        <is>
          <t>Hoteles y hospedajes</t>
        </is>
      </c>
      <c r="D22" s="17" t="inlineStr">
        <is>
          <t>Hotel / hospedaje</t>
        </is>
      </c>
      <c r="E22" s="17" t="inlineStr">
        <is>
          <t>osdumo@yahoo.es</t>
        </is>
      </c>
      <c r="F22" s="17" t="inlineStr">
        <is>
          <t>3117914842</t>
        </is>
      </c>
      <c r="G22" s="17" t="inlineStr">
        <is>
          <t>K 15 16 18</t>
        </is>
      </c>
      <c r="H22" s="45" t="n">
        <v>46314</v>
      </c>
      <c r="I22" s="17" t="inlineStr">
        <is>
          <t>Sin señal de actualización específica en el registro fuente; verificar vigencia.</t>
        </is>
      </c>
      <c r="J22" s="17" t="inlineStr">
        <is>
          <t>https://www.datos.gov.co/w/m463-yj48/dneh-mcp2</t>
        </is>
      </c>
      <c r="K22" s="17" t="inlineStr">
        <is>
          <t>Registro del directorio público de hoteles; confirmar vigencia y datos antes de contactar. Dirección conservada en el formato abreviado de la fuente. | Fuente: Prospectos_NeXo_La_Dorada.xlsx</t>
        </is>
      </c>
      <c r="L22" s="19">
        <f>IF($B22="","",SUBSTITUTE(INDEX(Plantillas!$B$6:$B$15,MATCH($C22,Plantillas!$A$6:$A$15,0)),"{NEGOCIO}",$B22))</f>
        <v/>
      </c>
      <c r="M22" s="18">
        <f>IF($B22="","",SUBSTITUTE(INDEX(Plantillas!$C$6:$C$15,MATCH($C22,Plantillas!$A$6:$A$15,0)),"{NEGOCIO}",$B22))</f>
        <v/>
      </c>
      <c r="N22" s="20" t="inlineStr">
        <is>
          <t>Pendiente de verificar</t>
        </is>
      </c>
      <c r="O22" s="20" t="inlineStr">
        <is>
          <t>Pendiente de revisar</t>
        </is>
      </c>
      <c r="P22" s="20" t="inlineStr">
        <is>
          <t>Pendiente de revisión</t>
        </is>
      </c>
      <c r="Q22" s="46" t="n"/>
      <c r="R22" s="20" t="n"/>
      <c r="S22" s="20" t="inlineStr">
        <is>
          <t>Pendiente</t>
        </is>
      </c>
    </row>
    <row r="23" ht="36" customHeight="1">
      <c r="A23" s="21" t="inlineStr">
        <is>
          <t>NX-019</t>
        </is>
      </c>
      <c r="B23" s="17" t="inlineStr">
        <is>
          <t>LA MANSIÓN</t>
        </is>
      </c>
      <c r="C23" s="20" t="inlineStr">
        <is>
          <t>Hoteles y hospedajes</t>
        </is>
      </c>
      <c r="D23" s="17" t="inlineStr">
        <is>
          <t>Hotel / hospedaje</t>
        </is>
      </c>
      <c r="E23" s="17" t="inlineStr">
        <is>
          <t>deypepa@yahoo.es</t>
        </is>
      </c>
      <c r="F23" s="17" t="inlineStr">
        <is>
          <t>3105436376</t>
        </is>
      </c>
      <c r="G23" s="17" t="inlineStr">
        <is>
          <t>K 15 16 38</t>
        </is>
      </c>
      <c r="H23" s="45" t="n">
        <v>46314</v>
      </c>
      <c r="I23" s="17" t="inlineStr">
        <is>
          <t>Sin señal de actualización específica en el registro fuente; verificar vigencia.</t>
        </is>
      </c>
      <c r="J23" s="17" t="inlineStr">
        <is>
          <t>https://www.datos.gov.co/w/m463-yj48/dneh-mcp2</t>
        </is>
      </c>
      <c r="K23" s="17" t="inlineStr">
        <is>
          <t>Registro del directorio público de hoteles; confirmar vigencia y datos antes de contactar. Dirección conservada en el formato abreviado de la fuente. | Fuente: Prospectos_NeXo_La_Dorada.xlsx</t>
        </is>
      </c>
      <c r="L23" s="19">
        <f>IF($B23="","",SUBSTITUTE(INDEX(Plantillas!$B$6:$B$15,MATCH($C23,Plantillas!$A$6:$A$15,0)),"{NEGOCIO}",$B23))</f>
        <v/>
      </c>
      <c r="M23" s="18">
        <f>IF($B23="","",SUBSTITUTE(INDEX(Plantillas!$C$6:$C$15,MATCH($C23,Plantillas!$A$6:$A$15,0)),"{NEGOCIO}",$B23))</f>
        <v/>
      </c>
      <c r="N23" s="20" t="inlineStr">
        <is>
          <t>Pendiente de verificar</t>
        </is>
      </c>
      <c r="O23" s="20" t="inlineStr">
        <is>
          <t>Pendiente de revisar</t>
        </is>
      </c>
      <c r="P23" s="20" t="inlineStr">
        <is>
          <t>Pendiente de revisión</t>
        </is>
      </c>
      <c r="Q23" s="46" t="n"/>
      <c r="R23" s="20" t="n"/>
      <c r="S23" s="20" t="inlineStr">
        <is>
          <t>Pendiente</t>
        </is>
      </c>
    </row>
    <row r="24" ht="36" customHeight="1">
      <c r="A24" s="21" t="inlineStr">
        <is>
          <t>NX-020</t>
        </is>
      </c>
      <c r="B24" s="17" t="inlineStr">
        <is>
          <t>ZONA TROPICAL</t>
        </is>
      </c>
      <c r="C24" s="20" t="inlineStr">
        <is>
          <t>Hoteles y hospedajes</t>
        </is>
      </c>
      <c r="D24" s="17" t="inlineStr">
        <is>
          <t>Hotel / hospedaje</t>
        </is>
      </c>
      <c r="E24" s="17" t="inlineStr">
        <is>
          <t>hotelzonatropical@hotmail.com</t>
        </is>
      </c>
      <c r="F24" s="17" t="inlineStr">
        <is>
          <t>3117929210</t>
        </is>
      </c>
      <c r="G24" s="17" t="inlineStr">
        <is>
          <t>C 11 12 27</t>
        </is>
      </c>
      <c r="H24" s="45" t="n">
        <v>46314</v>
      </c>
      <c r="I24" s="17" t="inlineStr">
        <is>
          <t>Sin señal de actualización específica en el registro fuente; verificar vigencia.</t>
        </is>
      </c>
      <c r="J24" s="17" t="inlineStr">
        <is>
          <t>https://www.datos.gov.co/w/m463-yj48/dneh-mcp2</t>
        </is>
      </c>
      <c r="K24" s="17" t="inlineStr">
        <is>
          <t>Registro del directorio público de hoteles; confirmar vigencia y datos antes de contactar. Dirección conservada en el formato abreviado de la fuente. | Fuente: Prospectos_NeXo_La_Dorada.xlsx</t>
        </is>
      </c>
      <c r="L24" s="19">
        <f>IF($B24="","",SUBSTITUTE(INDEX(Plantillas!$B$6:$B$15,MATCH($C24,Plantillas!$A$6:$A$15,0)),"{NEGOCIO}",$B24))</f>
        <v/>
      </c>
      <c r="M24" s="18">
        <f>IF($B24="","",SUBSTITUTE(INDEX(Plantillas!$C$6:$C$15,MATCH($C24,Plantillas!$A$6:$A$15,0)),"{NEGOCIO}",$B24))</f>
        <v/>
      </c>
      <c r="N24" s="20" t="inlineStr">
        <is>
          <t>Pendiente de verificar</t>
        </is>
      </c>
      <c r="O24" s="20" t="inlineStr">
        <is>
          <t>Pendiente de revisar</t>
        </is>
      </c>
      <c r="P24" s="20" t="inlineStr">
        <is>
          <t>Pendiente de revisión</t>
        </is>
      </c>
      <c r="Q24" s="46" t="n"/>
      <c r="R24" s="20" t="n"/>
      <c r="S24" s="20" t="inlineStr">
        <is>
          <t>Pendiente</t>
        </is>
      </c>
    </row>
    <row r="25" ht="36" customHeight="1">
      <c r="A25" s="21" t="inlineStr">
        <is>
          <t>NX-021</t>
        </is>
      </c>
      <c r="B25" s="17" t="inlineStr">
        <is>
          <t>MONTANAR</t>
        </is>
      </c>
      <c r="C25" s="20" t="inlineStr">
        <is>
          <t>Hoteles y hospedajes</t>
        </is>
      </c>
      <c r="D25" s="17" t="inlineStr">
        <is>
          <t>Hotel / hospedaje</t>
        </is>
      </c>
      <c r="E25" s="17" t="inlineStr">
        <is>
          <t>montanarhotel@gmail.com</t>
        </is>
      </c>
      <c r="F25" s="17" t="inlineStr">
        <is>
          <t>3108442641</t>
        </is>
      </c>
      <c r="G25" s="17" t="inlineStr">
        <is>
          <t>C 10 7 46</t>
        </is>
      </c>
      <c r="H25" s="45" t="n">
        <v>46314</v>
      </c>
      <c r="I25" s="17" t="inlineStr">
        <is>
          <t>Sin señal de actualización específica en el registro fuente; verificar vigencia.</t>
        </is>
      </c>
      <c r="J25" s="17" t="inlineStr">
        <is>
          <t>https://www.datos.gov.co/w/m463-yj48/dneh-mcp2</t>
        </is>
      </c>
      <c r="K25" s="17" t="inlineStr">
        <is>
          <t>Registro del directorio público de hoteles; confirmar vigencia y datos antes de contactar. Dirección conservada en el formato abreviado de la fuente. | Fuente: Prospectos_NeXo_La_Dorada.xlsx</t>
        </is>
      </c>
      <c r="L25" s="19">
        <f>IF($B25="","",SUBSTITUTE(INDEX(Plantillas!$B$6:$B$15,MATCH($C25,Plantillas!$A$6:$A$15,0)),"{NEGOCIO}",$B25))</f>
        <v/>
      </c>
      <c r="M25" s="18">
        <f>IF($B25="","",SUBSTITUTE(INDEX(Plantillas!$C$6:$C$15,MATCH($C25,Plantillas!$A$6:$A$15,0)),"{NEGOCIO}",$B25))</f>
        <v/>
      </c>
      <c r="N25" s="20" t="inlineStr">
        <is>
          <t>Pendiente de verificar</t>
        </is>
      </c>
      <c r="O25" s="20" t="inlineStr">
        <is>
          <t>Pendiente de revisar</t>
        </is>
      </c>
      <c r="P25" s="20" t="inlineStr">
        <is>
          <t>Pendiente de revisión</t>
        </is>
      </c>
      <c r="Q25" s="46" t="n"/>
      <c r="R25" s="20" t="n"/>
      <c r="S25" s="20" t="inlineStr">
        <is>
          <t>Pendiente</t>
        </is>
      </c>
    </row>
    <row r="26" ht="36" customHeight="1">
      <c r="A26" s="21" t="inlineStr">
        <is>
          <t>NX-022</t>
        </is>
      </c>
      <c r="B26" s="17" t="inlineStr">
        <is>
          <t>APARTAESTUDIOS CONFORT</t>
        </is>
      </c>
      <c r="C26" s="20" t="inlineStr">
        <is>
          <t>Hoteles y hospedajes</t>
        </is>
      </c>
      <c r="D26" s="17" t="inlineStr">
        <is>
          <t>Hotel / hospedaje</t>
        </is>
      </c>
      <c r="E26" s="17" t="inlineStr">
        <is>
          <t>hotelconfort2016@hotmail.com</t>
        </is>
      </c>
      <c r="F26" s="17" t="inlineStr">
        <is>
          <t>3226866448</t>
        </is>
      </c>
      <c r="G26" s="17" t="inlineStr">
        <is>
          <t>C 10 6 35</t>
        </is>
      </c>
      <c r="H26" s="45" t="n">
        <v>46314</v>
      </c>
      <c r="I26" s="17" t="inlineStr">
        <is>
          <t>Sin señal de actualización específica en el registro fuente; verificar vigencia.</t>
        </is>
      </c>
      <c r="J26" s="17" t="inlineStr">
        <is>
          <t>https://www.datos.gov.co/w/m463-yj48/dneh-mcp2</t>
        </is>
      </c>
      <c r="K26" s="17" t="inlineStr">
        <is>
          <t>Registro del directorio público de hoteles; confirmar vigencia y datos antes de contactar. Dirección conservada en el formato abreviado de la fuente. | Fuente: Prospectos_NeXo_La_Dorada.xlsx</t>
        </is>
      </c>
      <c r="L26" s="19">
        <f>IF($B26="","",SUBSTITUTE(INDEX(Plantillas!$B$6:$B$15,MATCH($C26,Plantillas!$A$6:$A$15,0)),"{NEGOCIO}",$B26))</f>
        <v/>
      </c>
      <c r="M26" s="18">
        <f>IF($B26="","",SUBSTITUTE(INDEX(Plantillas!$C$6:$C$15,MATCH($C26,Plantillas!$A$6:$A$15,0)),"{NEGOCIO}",$B26))</f>
        <v/>
      </c>
      <c r="N26" s="20" t="inlineStr">
        <is>
          <t>Pendiente de verificar</t>
        </is>
      </c>
      <c r="O26" s="20" t="inlineStr">
        <is>
          <t>Pendiente de revisar</t>
        </is>
      </c>
      <c r="P26" s="20" t="inlineStr">
        <is>
          <t>Pendiente de revisión</t>
        </is>
      </c>
      <c r="Q26" s="46" t="n"/>
      <c r="R26" s="20" t="n"/>
      <c r="S26" s="20" t="inlineStr">
        <is>
          <t>Pendiente</t>
        </is>
      </c>
    </row>
    <row r="27" ht="36" customHeight="1">
      <c r="A27" s="21" t="inlineStr">
        <is>
          <t>NX-023</t>
        </is>
      </c>
      <c r="B27" s="17" t="inlineStr">
        <is>
          <t>MONTEVERDE</t>
        </is>
      </c>
      <c r="C27" s="20" t="inlineStr">
        <is>
          <t>Hoteles y hospedajes</t>
        </is>
      </c>
      <c r="D27" s="17" t="inlineStr">
        <is>
          <t>Hotel / hospedaje</t>
        </is>
      </c>
      <c r="E27" s="17" t="inlineStr">
        <is>
          <t>monteverdehotel1@hotmail.com</t>
        </is>
      </c>
      <c r="F27" s="17" t="inlineStr">
        <is>
          <t>3127931922</t>
        </is>
      </c>
      <c r="G27" s="17" t="inlineStr">
        <is>
          <t>K 6 10 43</t>
        </is>
      </c>
      <c r="H27" s="45" t="n">
        <v>46314</v>
      </c>
      <c r="I27" s="17" t="inlineStr">
        <is>
          <t>Sin señal de actualización específica en el registro fuente; verificar vigencia.</t>
        </is>
      </c>
      <c r="J27" s="17" t="inlineStr">
        <is>
          <t>https://www.datos.gov.co/w/m463-yj48/dneh-mcp2</t>
        </is>
      </c>
      <c r="K27" s="17" t="inlineStr">
        <is>
          <t>Registro del directorio público de hoteles; confirmar vigencia y datos antes de contactar. Dirección conservada en el formato abreviado de la fuente. | Fuente: Prospectos_NeXo_La_Dorada.xlsx</t>
        </is>
      </c>
      <c r="L27" s="19">
        <f>IF($B27="","",SUBSTITUTE(INDEX(Plantillas!$B$6:$B$15,MATCH($C27,Plantillas!$A$6:$A$15,0)),"{NEGOCIO}",$B27))</f>
        <v/>
      </c>
      <c r="M27" s="18">
        <f>IF($B27="","",SUBSTITUTE(INDEX(Plantillas!$C$6:$C$15,MATCH($C27,Plantillas!$A$6:$A$15,0)),"{NEGOCIO}",$B27))</f>
        <v/>
      </c>
      <c r="N27" s="20" t="inlineStr">
        <is>
          <t>Pendiente de verificar</t>
        </is>
      </c>
      <c r="O27" s="20" t="inlineStr">
        <is>
          <t>Pendiente de revisar</t>
        </is>
      </c>
      <c r="P27" s="20" t="inlineStr">
        <is>
          <t>Pendiente de revisión</t>
        </is>
      </c>
      <c r="Q27" s="46" t="n"/>
      <c r="R27" s="20" t="n"/>
      <c r="S27" s="20" t="inlineStr">
        <is>
          <t>Pendiente</t>
        </is>
      </c>
    </row>
    <row r="28" ht="36" customHeight="1">
      <c r="A28" s="21" t="inlineStr">
        <is>
          <t>NX-024</t>
        </is>
      </c>
      <c r="B28" s="17" t="inlineStr">
        <is>
          <t>TRAMONTI</t>
        </is>
      </c>
      <c r="C28" s="20" t="inlineStr">
        <is>
          <t>Hoteles y hospedajes</t>
        </is>
      </c>
      <c r="D28" s="17" t="inlineStr">
        <is>
          <t>Hotel / hospedaje</t>
        </is>
      </c>
      <c r="E28" s="17" t="inlineStr">
        <is>
          <t>laura_naranjo25@hotmail.com</t>
        </is>
      </c>
      <c r="F28" s="17" t="inlineStr">
        <is>
          <t>3116434714</t>
        </is>
      </c>
      <c r="G28" s="17" t="inlineStr">
        <is>
          <t>K 4 10 51</t>
        </is>
      </c>
      <c r="H28" s="45" t="n">
        <v>46314</v>
      </c>
      <c r="I28" s="17" t="inlineStr">
        <is>
          <t>Sin señal de actualización específica en el registro fuente; verificar vigencia.</t>
        </is>
      </c>
      <c r="J28" s="17" t="inlineStr">
        <is>
          <t>https://www.datos.gov.co/w/m463-yj48/dneh-mcp2</t>
        </is>
      </c>
      <c r="K28" s="17" t="inlineStr">
        <is>
          <t>Registro del directorio público de hoteles; confirmar vigencia y datos antes de contactar. Dirección conservada en el formato abreviado de la fuente. | Fuente: Prospectos_NeXo_La_Dorada.xlsx</t>
        </is>
      </c>
      <c r="L28" s="19">
        <f>IF($B28="","",SUBSTITUTE(INDEX(Plantillas!$B$6:$B$15,MATCH($C28,Plantillas!$A$6:$A$15,0)),"{NEGOCIO}",$B28))</f>
        <v/>
      </c>
      <c r="M28" s="18">
        <f>IF($B28="","",SUBSTITUTE(INDEX(Plantillas!$C$6:$C$15,MATCH($C28,Plantillas!$A$6:$A$15,0)),"{NEGOCIO}",$B28))</f>
        <v/>
      </c>
      <c r="N28" s="20" t="inlineStr">
        <is>
          <t>Pendiente de verificar</t>
        </is>
      </c>
      <c r="O28" s="20" t="inlineStr">
        <is>
          <t>Pendiente de revisar</t>
        </is>
      </c>
      <c r="P28" s="20" t="inlineStr">
        <is>
          <t>Pendiente de revisión</t>
        </is>
      </c>
      <c r="Q28" s="46" t="n"/>
      <c r="R28" s="20" t="n"/>
      <c r="S28" s="20" t="inlineStr">
        <is>
          <t>Pendiente</t>
        </is>
      </c>
    </row>
    <row r="29" ht="36" customHeight="1">
      <c r="A29" s="21" t="inlineStr">
        <is>
          <t>NX-025</t>
        </is>
      </c>
      <c r="B29" s="17" t="inlineStr">
        <is>
          <t>MI CHOCITA</t>
        </is>
      </c>
      <c r="C29" s="20" t="inlineStr">
        <is>
          <t>Hoteles y hospedajes</t>
        </is>
      </c>
      <c r="D29" s="17" t="inlineStr">
        <is>
          <t>Hotel / hospedaje</t>
        </is>
      </c>
      <c r="E29" s="17" t="inlineStr">
        <is>
          <t>hotelmichocitadorada@hotmail.com</t>
        </is>
      </c>
      <c r="F29" s="17" t="inlineStr">
        <is>
          <t>3206339035</t>
        </is>
      </c>
      <c r="G29" s="17" t="inlineStr">
        <is>
          <t>K 2 6 17</t>
        </is>
      </c>
      <c r="H29" s="45" t="n">
        <v>46314</v>
      </c>
      <c r="I29" s="17" t="inlineStr">
        <is>
          <t>Sin señal de actualización específica en el registro fuente; verificar vigencia.</t>
        </is>
      </c>
      <c r="J29" s="17" t="inlineStr">
        <is>
          <t>https://www.datos.gov.co/w/m463-yj48/dneh-mcp2</t>
        </is>
      </c>
      <c r="K29" s="17" t="inlineStr">
        <is>
          <t>Registro del directorio público de hoteles; confirmar vigencia y datos antes de contactar. Dirección conservada en el formato abreviado de la fuente. | Fuente: Prospectos_NeXo_La_Dorada.xlsx</t>
        </is>
      </c>
      <c r="L29" s="19">
        <f>IF($B29="","",SUBSTITUTE(INDEX(Plantillas!$B$6:$B$15,MATCH($C29,Plantillas!$A$6:$A$15,0)),"{NEGOCIO}",$B29))</f>
        <v/>
      </c>
      <c r="M29" s="18">
        <f>IF($B29="","",SUBSTITUTE(INDEX(Plantillas!$C$6:$C$15,MATCH($C29,Plantillas!$A$6:$A$15,0)),"{NEGOCIO}",$B29))</f>
        <v/>
      </c>
      <c r="N29" s="20" t="inlineStr">
        <is>
          <t>Pendiente de verificar</t>
        </is>
      </c>
      <c r="O29" s="20" t="inlineStr">
        <is>
          <t>Pendiente de revisar</t>
        </is>
      </c>
      <c r="P29" s="20" t="inlineStr">
        <is>
          <t>Pendiente de revisión</t>
        </is>
      </c>
      <c r="Q29" s="46" t="n"/>
      <c r="R29" s="20" t="n"/>
      <c r="S29" s="20" t="inlineStr">
        <is>
          <t>Pendiente</t>
        </is>
      </c>
    </row>
    <row r="30" ht="36" customHeight="1">
      <c r="A30" s="21" t="inlineStr">
        <is>
          <t>NX-026</t>
        </is>
      </c>
      <c r="B30" s="17" t="inlineStr">
        <is>
          <t>DORADA PLAZA</t>
        </is>
      </c>
      <c r="C30" s="20" t="inlineStr">
        <is>
          <t>Hoteles y hospedajes</t>
        </is>
      </c>
      <c r="D30" s="17" t="inlineStr">
        <is>
          <t>Hotel / hospedaje</t>
        </is>
      </c>
      <c r="E30" s="17" t="inlineStr">
        <is>
          <t>hoteldoradaplaza@hotmail.com</t>
        </is>
      </c>
      <c r="F30" s="17" t="inlineStr">
        <is>
          <t>3148627715</t>
        </is>
      </c>
      <c r="G30" s="17" t="inlineStr">
        <is>
          <t>C 14 3 65</t>
        </is>
      </c>
      <c r="H30" s="45" t="n">
        <v>46314</v>
      </c>
      <c r="I30" s="17" t="inlineStr">
        <is>
          <t>Sin señal de actualización específica en el registro fuente; verificar vigencia.</t>
        </is>
      </c>
      <c r="J30" s="17" t="inlineStr">
        <is>
          <t>https://www.datos.gov.co/w/m463-yj48/dneh-mcp2</t>
        </is>
      </c>
      <c r="K30" s="17" t="inlineStr">
        <is>
          <t>Registro del directorio público de hoteles; confirmar vigencia y datos antes de contactar. Dirección conservada en el formato abreviado de la fuente. | Fuente: Prospectos_NeXo_La_Dorada.xlsx</t>
        </is>
      </c>
      <c r="L30" s="19">
        <f>IF($B30="","",SUBSTITUTE(INDEX(Plantillas!$B$6:$B$15,MATCH($C30,Plantillas!$A$6:$A$15,0)),"{NEGOCIO}",$B30))</f>
        <v/>
      </c>
      <c r="M30" s="18">
        <f>IF($B30="","",SUBSTITUTE(INDEX(Plantillas!$C$6:$C$15,MATCH($C30,Plantillas!$A$6:$A$15,0)),"{NEGOCIO}",$B30))</f>
        <v/>
      </c>
      <c r="N30" s="20" t="inlineStr">
        <is>
          <t>Pendiente de verificar</t>
        </is>
      </c>
      <c r="O30" s="20" t="inlineStr">
        <is>
          <t>Pendiente de revisar</t>
        </is>
      </c>
      <c r="P30" s="20" t="inlineStr">
        <is>
          <t>Pendiente de revisión</t>
        </is>
      </c>
      <c r="Q30" s="46" t="n"/>
      <c r="R30" s="20" t="n"/>
      <c r="S30" s="20" t="inlineStr">
        <is>
          <t>Pendiente</t>
        </is>
      </c>
    </row>
    <row r="31" ht="36" customHeight="1">
      <c r="A31" s="21" t="inlineStr">
        <is>
          <t>NX-027</t>
        </is>
      </c>
      <c r="B31" s="17" t="inlineStr">
        <is>
          <t>DOMINIQUE</t>
        </is>
      </c>
      <c r="C31" s="20" t="inlineStr">
        <is>
          <t>Hoteles y hospedajes</t>
        </is>
      </c>
      <c r="D31" s="17" t="inlineStr">
        <is>
          <t>Hotel / hospedaje</t>
        </is>
      </c>
      <c r="E31" s="17" t="inlineStr">
        <is>
          <t>hoteldominiqueladorada@gmail.com</t>
        </is>
      </c>
      <c r="F31" s="17" t="inlineStr">
        <is>
          <t>3104092815</t>
        </is>
      </c>
      <c r="G31" s="17" t="inlineStr">
        <is>
          <t>K 4 14 32</t>
        </is>
      </c>
      <c r="H31" s="45" t="n">
        <v>46314</v>
      </c>
      <c r="I31" s="17" t="inlineStr">
        <is>
          <t>Sin señal de actualización específica en el registro fuente; verificar vigencia.</t>
        </is>
      </c>
      <c r="J31" s="17" t="inlineStr">
        <is>
          <t>https://www.datos.gov.co/w/m463-yj48/dneh-mcp2</t>
        </is>
      </c>
      <c r="K31" s="17" t="inlineStr">
        <is>
          <t>Registro del directorio público de hoteles; confirmar vigencia y datos antes de contactar. Dirección conservada en el formato abreviado de la fuente. | Fuente: Prospectos_NeXo_La_Dorada.xlsx</t>
        </is>
      </c>
      <c r="L31" s="19">
        <f>IF($B31="","",SUBSTITUTE(INDEX(Plantillas!$B$6:$B$15,MATCH($C31,Plantillas!$A$6:$A$15,0)),"{NEGOCIO}",$B31))</f>
        <v/>
      </c>
      <c r="M31" s="18">
        <f>IF($B31="","",SUBSTITUTE(INDEX(Plantillas!$C$6:$C$15,MATCH($C31,Plantillas!$A$6:$A$15,0)),"{NEGOCIO}",$B31))</f>
        <v/>
      </c>
      <c r="N31" s="20" t="inlineStr">
        <is>
          <t>Pendiente de verificar</t>
        </is>
      </c>
      <c r="O31" s="20" t="inlineStr">
        <is>
          <t>Pendiente de revisar</t>
        </is>
      </c>
      <c r="P31" s="20" t="inlineStr">
        <is>
          <t>Pendiente de revisión</t>
        </is>
      </c>
      <c r="Q31" s="46" t="n"/>
      <c r="R31" s="20" t="n"/>
      <c r="S31" s="20" t="inlineStr">
        <is>
          <t>Pendiente</t>
        </is>
      </c>
    </row>
    <row r="32" ht="36" customHeight="1">
      <c r="A32" s="21" t="inlineStr">
        <is>
          <t>NX-028</t>
        </is>
      </c>
      <c r="B32" s="17" t="inlineStr">
        <is>
          <t>CALDAS</t>
        </is>
      </c>
      <c r="C32" s="20" t="inlineStr">
        <is>
          <t>Hoteles y hospedajes</t>
        </is>
      </c>
      <c r="D32" s="17" t="inlineStr">
        <is>
          <t>Hotel / hospedaje</t>
        </is>
      </c>
      <c r="E32" s="17" t="inlineStr">
        <is>
          <t>hotelcaldas2010@gmail.com</t>
        </is>
      </c>
      <c r="F32" s="17" t="inlineStr">
        <is>
          <t>3147456490</t>
        </is>
      </c>
      <c r="G32" s="17" t="inlineStr">
        <is>
          <t>K 4 14 43</t>
        </is>
      </c>
      <c r="H32" s="45" t="n">
        <v>46314</v>
      </c>
      <c r="I32" s="17" t="inlineStr">
        <is>
          <t>Sin señal de actualización específica en el registro fuente; verificar vigencia.</t>
        </is>
      </c>
      <c r="J32" s="17" t="inlineStr">
        <is>
          <t>https://www.datos.gov.co/w/m463-yj48/dneh-mcp2</t>
        </is>
      </c>
      <c r="K32" s="17" t="inlineStr">
        <is>
          <t>Registro del directorio público de hoteles; confirmar vigencia y datos antes de contactar. Dirección conservada en el formato abreviado de la fuente. | Fuente: Prospectos_NeXo_La_Dorada.xlsx</t>
        </is>
      </c>
      <c r="L32" s="19">
        <f>IF($B32="","",SUBSTITUTE(INDEX(Plantillas!$B$6:$B$15,MATCH($C32,Plantillas!$A$6:$A$15,0)),"{NEGOCIO}",$B32))</f>
        <v/>
      </c>
      <c r="M32" s="18">
        <f>IF($B32="","",SUBSTITUTE(INDEX(Plantillas!$C$6:$C$15,MATCH($C32,Plantillas!$A$6:$A$15,0)),"{NEGOCIO}",$B32))</f>
        <v/>
      </c>
      <c r="N32" s="20" t="inlineStr">
        <is>
          <t>Pendiente de verificar</t>
        </is>
      </c>
      <c r="O32" s="20" t="inlineStr">
        <is>
          <t>Pendiente de revisar</t>
        </is>
      </c>
      <c r="P32" s="20" t="inlineStr">
        <is>
          <t>Pendiente de revisión</t>
        </is>
      </c>
      <c r="Q32" s="46" t="n"/>
      <c r="R32" s="20" t="n"/>
      <c r="S32" s="20" t="inlineStr">
        <is>
          <t>Pendiente</t>
        </is>
      </c>
    </row>
    <row r="33" ht="36" customHeight="1">
      <c r="A33" s="21" t="inlineStr">
        <is>
          <t>NX-029</t>
        </is>
      </c>
      <c r="B33" s="17" t="inlineStr">
        <is>
          <t>BRISAS DE SAN DIEGO</t>
        </is>
      </c>
      <c r="C33" s="20" t="inlineStr">
        <is>
          <t>Hoteles y hospedajes</t>
        </is>
      </c>
      <c r="D33" s="17" t="inlineStr">
        <is>
          <t>Hotel / hospedaje</t>
        </is>
      </c>
      <c r="E33" s="17" t="inlineStr">
        <is>
          <t>monicuda01@hotmail.com</t>
        </is>
      </c>
      <c r="F33" s="17" t="inlineStr">
        <is>
          <t>3147924944</t>
        </is>
      </c>
      <c r="G33" s="17" t="inlineStr">
        <is>
          <t>K 6 13 51</t>
        </is>
      </c>
      <c r="H33" s="45" t="n">
        <v>46314</v>
      </c>
      <c r="I33" s="17" t="inlineStr">
        <is>
          <t>Sin señal de actualización específica en el registro fuente; verificar vigencia.</t>
        </is>
      </c>
      <c r="J33" s="17" t="inlineStr">
        <is>
          <t>https://www.datos.gov.co/w/m463-yj48/dneh-mcp2</t>
        </is>
      </c>
      <c r="K33" s="17" t="inlineStr">
        <is>
          <t>Registro del directorio público de hoteles; confirmar vigencia y datos antes de contactar. Dirección conservada en el formato abreviado de la fuente. | Fuente: Prospectos_NeXo_La_Dorada.xlsx</t>
        </is>
      </c>
      <c r="L33" s="19">
        <f>IF($B33="","",SUBSTITUTE(INDEX(Plantillas!$B$6:$B$15,MATCH($C33,Plantillas!$A$6:$A$15,0)),"{NEGOCIO}",$B33))</f>
        <v/>
      </c>
      <c r="M33" s="18">
        <f>IF($B33="","",SUBSTITUTE(INDEX(Plantillas!$C$6:$C$15,MATCH($C33,Plantillas!$A$6:$A$15,0)),"{NEGOCIO}",$B33))</f>
        <v/>
      </c>
      <c r="N33" s="20" t="inlineStr">
        <is>
          <t>Pendiente de verificar</t>
        </is>
      </c>
      <c r="O33" s="20" t="inlineStr">
        <is>
          <t>Pendiente de revisar</t>
        </is>
      </c>
      <c r="P33" s="20" t="inlineStr">
        <is>
          <t>Pendiente de revisión</t>
        </is>
      </c>
      <c r="Q33" s="46" t="n"/>
      <c r="R33" s="20" t="n"/>
      <c r="S33" s="20" t="inlineStr">
        <is>
          <t>Pendiente</t>
        </is>
      </c>
    </row>
    <row r="34" ht="36" customHeight="1">
      <c r="A34" s="21" t="inlineStr">
        <is>
          <t>NX-030</t>
        </is>
      </c>
      <c r="B34" s="17" t="inlineStr">
        <is>
          <t>EL TESORO DORADA</t>
        </is>
      </c>
      <c r="C34" s="20" t="inlineStr">
        <is>
          <t>Hoteles y hospedajes</t>
        </is>
      </c>
      <c r="D34" s="17" t="inlineStr">
        <is>
          <t>Hotel / hospedaje</t>
        </is>
      </c>
      <c r="E34" s="17" t="inlineStr">
        <is>
          <t>hoteleltesoroladorada@gmail.com</t>
        </is>
      </c>
      <c r="F34" s="17" t="inlineStr">
        <is>
          <t>3175109393</t>
        </is>
      </c>
      <c r="G34" s="17" t="inlineStr">
        <is>
          <t>K 4 14 53</t>
        </is>
      </c>
      <c r="H34" s="45" t="n">
        <v>46314</v>
      </c>
      <c r="I34" s="17" t="inlineStr">
        <is>
          <t>Sin señal de actualización específica en el registro fuente; verificar vigencia.</t>
        </is>
      </c>
      <c r="J34" s="17" t="inlineStr">
        <is>
          <t>https://www.datos.gov.co/w/m463-yj48/dneh-mcp2</t>
        </is>
      </c>
      <c r="K34" s="17" t="inlineStr">
        <is>
          <t>Registro del directorio público de hoteles; confirmar vigencia y datos antes de contactar. Dirección conservada en el formato abreviado de la fuente. | Fuente: Prospectos_NeXo_La_Dorada.xlsx</t>
        </is>
      </c>
      <c r="L34" s="19">
        <f>IF($B34="","",SUBSTITUTE(INDEX(Plantillas!$B$6:$B$15,MATCH($C34,Plantillas!$A$6:$A$15,0)),"{NEGOCIO}",$B34))</f>
        <v/>
      </c>
      <c r="M34" s="18">
        <f>IF($B34="","",SUBSTITUTE(INDEX(Plantillas!$C$6:$C$15,MATCH($C34,Plantillas!$A$6:$A$15,0)),"{NEGOCIO}",$B34))</f>
        <v/>
      </c>
      <c r="N34" s="20" t="inlineStr">
        <is>
          <t>Pendiente de verificar</t>
        </is>
      </c>
      <c r="O34" s="20" t="inlineStr">
        <is>
          <t>Pendiente de revisar</t>
        </is>
      </c>
      <c r="P34" s="20" t="inlineStr">
        <is>
          <t>Pendiente de revisión</t>
        </is>
      </c>
      <c r="Q34" s="46" t="n"/>
      <c r="R34" s="20" t="n"/>
      <c r="S34" s="20" t="inlineStr">
        <is>
          <t>Pendiente</t>
        </is>
      </c>
    </row>
    <row r="35" ht="36" customHeight="1">
      <c r="A35" s="21" t="inlineStr">
        <is>
          <t>NX-031</t>
        </is>
      </c>
      <c r="B35" s="17" t="inlineStr">
        <is>
          <t>LA VIÑA</t>
        </is>
      </c>
      <c r="C35" s="20" t="inlineStr">
        <is>
          <t>Hoteles y hospedajes</t>
        </is>
      </c>
      <c r="D35" s="17" t="inlineStr">
        <is>
          <t>Hotel / hospedaje</t>
        </is>
      </c>
      <c r="E35" s="17" t="inlineStr">
        <is>
          <t>yesid.ruiz@hotmail.com</t>
        </is>
      </c>
      <c r="F35" s="17" t="inlineStr">
        <is>
          <t>3137104831</t>
        </is>
      </c>
      <c r="G35" s="17" t="inlineStr">
        <is>
          <t>C 15 4 33</t>
        </is>
      </c>
      <c r="H35" s="45" t="n">
        <v>46314</v>
      </c>
      <c r="I35" s="17" t="inlineStr">
        <is>
          <t>Sin señal de actualización específica en el registro fuente; verificar vigencia.</t>
        </is>
      </c>
      <c r="J35" s="17" t="inlineStr">
        <is>
          <t>https://www.datos.gov.co/w/m463-yj48/dneh-mcp2</t>
        </is>
      </c>
      <c r="K35" s="17" t="inlineStr">
        <is>
          <t>Registro del directorio público de hoteles; confirmar vigencia y datos antes de contactar. Dirección conservada en el formato abreviado de la fuente. | Fuente: Prospectos_NeXo_La_Dorada.xlsx</t>
        </is>
      </c>
      <c r="L35" s="19">
        <f>IF($B35="","",SUBSTITUTE(INDEX(Plantillas!$B$6:$B$15,MATCH($C35,Plantillas!$A$6:$A$15,0)),"{NEGOCIO}",$B35))</f>
        <v/>
      </c>
      <c r="M35" s="18">
        <f>IF($B35="","",SUBSTITUTE(INDEX(Plantillas!$C$6:$C$15,MATCH($C35,Plantillas!$A$6:$A$15,0)),"{NEGOCIO}",$B35))</f>
        <v/>
      </c>
      <c r="N35" s="20" t="inlineStr">
        <is>
          <t>Pendiente de verificar</t>
        </is>
      </c>
      <c r="O35" s="20" t="inlineStr">
        <is>
          <t>Pendiente de revisar</t>
        </is>
      </c>
      <c r="P35" s="20" t="inlineStr">
        <is>
          <t>Pendiente de revisión</t>
        </is>
      </c>
      <c r="Q35" s="46" t="n"/>
      <c r="R35" s="20" t="n"/>
      <c r="S35" s="20" t="inlineStr">
        <is>
          <t>Pendiente</t>
        </is>
      </c>
    </row>
    <row r="36" ht="36" customHeight="1">
      <c r="A36" s="21" t="inlineStr">
        <is>
          <t>NX-032</t>
        </is>
      </c>
      <c r="B36" s="17" t="inlineStr">
        <is>
          <t>RESIDENCIAS EL BUFALO</t>
        </is>
      </c>
      <c r="C36" s="20" t="inlineStr">
        <is>
          <t>Hoteles y hospedajes</t>
        </is>
      </c>
      <c r="D36" s="17" t="inlineStr">
        <is>
          <t>Hotel / hospedaje</t>
        </is>
      </c>
      <c r="E36" s="17" t="inlineStr">
        <is>
          <t>norbeyedi94@gmail.com</t>
        </is>
      </c>
      <c r="F36" s="17" t="inlineStr">
        <is>
          <t>3502774610</t>
        </is>
      </c>
      <c r="G36" s="17" t="inlineStr">
        <is>
          <t>K 4 16 45</t>
        </is>
      </c>
      <c r="H36" s="45" t="n">
        <v>46314</v>
      </c>
      <c r="I36" s="17" t="inlineStr">
        <is>
          <t>Sin señal de actualización específica en el registro fuente; verificar vigencia.</t>
        </is>
      </c>
      <c r="J36" s="17" t="inlineStr">
        <is>
          <t>https://www.datos.gov.co/w/m463-yj48/dneh-mcp2</t>
        </is>
      </c>
      <c r="K36" s="17" t="inlineStr">
        <is>
          <t>Registro del directorio público de hoteles; confirmar vigencia y datos antes de contactar. Dirección conservada en el formato abreviado de la fuente. Teléfono compartido entre ambas fichas del directorio. | Fuente: Prospectos_NeXo_La_Dorada.xlsx</t>
        </is>
      </c>
      <c r="L36" s="19">
        <f>IF($B36="","",SUBSTITUTE(INDEX(Plantillas!$B$6:$B$15,MATCH($C36,Plantillas!$A$6:$A$15,0)),"{NEGOCIO}",$B36))</f>
        <v/>
      </c>
      <c r="M36" s="18">
        <f>IF($B36="","",SUBSTITUTE(INDEX(Plantillas!$C$6:$C$15,MATCH($C36,Plantillas!$A$6:$A$15,0)),"{NEGOCIO}",$B36))</f>
        <v/>
      </c>
      <c r="N36" s="20" t="inlineStr">
        <is>
          <t>Pendiente de verificar</t>
        </is>
      </c>
      <c r="O36" s="20" t="inlineStr">
        <is>
          <t>Pendiente de revisar</t>
        </is>
      </c>
      <c r="P36" s="20" t="inlineStr">
        <is>
          <t>Pendiente de revisión</t>
        </is>
      </c>
      <c r="Q36" s="46" t="n"/>
      <c r="R36" s="20" t="n"/>
      <c r="S36" s="20" t="inlineStr">
        <is>
          <t>Pendiente</t>
        </is>
      </c>
    </row>
    <row r="37" ht="36" customHeight="1">
      <c r="A37" s="21" t="inlineStr">
        <is>
          <t>NX-033</t>
        </is>
      </c>
      <c r="B37" s="17" t="inlineStr">
        <is>
          <t>HOTEL TAYRONA DORADA</t>
        </is>
      </c>
      <c r="C37" s="20" t="inlineStr">
        <is>
          <t>Hoteles y hospedajes</t>
        </is>
      </c>
      <c r="D37" s="17" t="inlineStr">
        <is>
          <t>Hotel / hospedaje</t>
        </is>
      </c>
      <c r="E37" s="17" t="inlineStr">
        <is>
          <t>norbeym76@gmail.com</t>
        </is>
      </c>
      <c r="F37" s="17" t="inlineStr">
        <is>
          <t>3502774610</t>
        </is>
      </c>
      <c r="G37" s="17" t="inlineStr">
        <is>
          <t>K 4 16 34</t>
        </is>
      </c>
      <c r="H37" s="45" t="n">
        <v>46314</v>
      </c>
      <c r="I37" s="17" t="inlineStr">
        <is>
          <t>Sin señal de actualización específica en el registro fuente; verificar vigencia.</t>
        </is>
      </c>
      <c r="J37" s="17" t="inlineStr">
        <is>
          <t>https://www.datos.gov.co/w/m463-yj48/dneh-mcp2</t>
        </is>
      </c>
      <c r="K37" s="17" t="inlineStr">
        <is>
          <t>Registro del directorio público de hoteles; confirmar vigencia y datos antes de contactar. Dirección conservada en el formato abreviado de la fuente. Teléfono compartido entre ambas fichas del directorio. | Fuente: Prospectos_NeXo_La_Dorada.xlsx</t>
        </is>
      </c>
      <c r="L37" s="19">
        <f>IF($B37="","",SUBSTITUTE(INDEX(Plantillas!$B$6:$B$15,MATCH($C37,Plantillas!$A$6:$A$15,0)),"{NEGOCIO}",$B37))</f>
        <v/>
      </c>
      <c r="M37" s="18">
        <f>IF($B37="","",SUBSTITUTE(INDEX(Plantillas!$C$6:$C$15,MATCH($C37,Plantillas!$A$6:$A$15,0)),"{NEGOCIO}",$B37))</f>
        <v/>
      </c>
      <c r="N37" s="20" t="inlineStr">
        <is>
          <t>Pendiente de verificar</t>
        </is>
      </c>
      <c r="O37" s="20" t="inlineStr">
        <is>
          <t>Pendiente de revisar</t>
        </is>
      </c>
      <c r="P37" s="20" t="inlineStr">
        <is>
          <t>Pendiente de revisión</t>
        </is>
      </c>
      <c r="Q37" s="46" t="n"/>
      <c r="R37" s="20" t="n"/>
      <c r="S37" s="20" t="inlineStr">
        <is>
          <t>Pendiente</t>
        </is>
      </c>
    </row>
    <row r="38" ht="36" customHeight="1">
      <c r="A38" s="21" t="inlineStr">
        <is>
          <t>NX-034</t>
        </is>
      </c>
      <c r="B38" s="17" t="inlineStr">
        <is>
          <t>LA SUITE</t>
        </is>
      </c>
      <c r="C38" s="20" t="inlineStr">
        <is>
          <t>Hoteles y hospedajes</t>
        </is>
      </c>
      <c r="D38" s="17" t="inlineStr">
        <is>
          <t>Hotel / hospedaje</t>
        </is>
      </c>
      <c r="E38" s="17" t="inlineStr">
        <is>
          <t>hotelsuite@hotmail.com</t>
        </is>
      </c>
      <c r="F38" s="17" t="inlineStr">
        <is>
          <t>3113896615</t>
        </is>
      </c>
      <c r="G38" s="17" t="inlineStr">
        <is>
          <t>C 17 4 34</t>
        </is>
      </c>
      <c r="H38" s="45" t="n">
        <v>46314</v>
      </c>
      <c r="I38" s="17" t="inlineStr">
        <is>
          <t>Sin señal de actualización específica en el registro fuente; verificar vigencia.</t>
        </is>
      </c>
      <c r="J38" s="17" t="inlineStr">
        <is>
          <t>https://www.datos.gov.co/w/m463-yj48/dneh-mcp2</t>
        </is>
      </c>
      <c r="K38" s="17" t="inlineStr">
        <is>
          <t>Registro del directorio público de hoteles; confirmar vigencia y datos antes de contactar. Dirección conservada en el formato abreviado de la fuente. | Fuente: Prospectos_NeXo_La_Dorada.xlsx</t>
        </is>
      </c>
      <c r="L38" s="19">
        <f>IF($B38="","",SUBSTITUTE(INDEX(Plantillas!$B$6:$B$15,MATCH($C38,Plantillas!$A$6:$A$15,0)),"{NEGOCIO}",$B38))</f>
        <v/>
      </c>
      <c r="M38" s="18">
        <f>IF($B38="","",SUBSTITUTE(INDEX(Plantillas!$C$6:$C$15,MATCH($C38,Plantillas!$A$6:$A$15,0)),"{NEGOCIO}",$B38))</f>
        <v/>
      </c>
      <c r="N38" s="20" t="inlineStr">
        <is>
          <t>Pendiente de verificar</t>
        </is>
      </c>
      <c r="O38" s="20" t="inlineStr">
        <is>
          <t>Pendiente de revisar</t>
        </is>
      </c>
      <c r="P38" s="20" t="inlineStr">
        <is>
          <t>Pendiente de revisión</t>
        </is>
      </c>
      <c r="Q38" s="46" t="n"/>
      <c r="R38" s="20" t="n"/>
      <c r="S38" s="20" t="inlineStr">
        <is>
          <t>Pendiente</t>
        </is>
      </c>
    </row>
    <row r="39" ht="36" customHeight="1">
      <c r="A39" s="21" t="inlineStr">
        <is>
          <t>NX-035</t>
        </is>
      </c>
      <c r="B39" s="17" t="inlineStr">
        <is>
          <t>DORAL</t>
        </is>
      </c>
      <c r="C39" s="20" t="inlineStr">
        <is>
          <t>Hoteles y hospedajes</t>
        </is>
      </c>
      <c r="D39" s="17" t="inlineStr">
        <is>
          <t>Hotel / hospedaje</t>
        </is>
      </c>
      <c r="E39" s="17" t="inlineStr">
        <is>
          <t>hoteldoralla4@hotmail.com</t>
        </is>
      </c>
      <c r="F39" s="17" t="inlineStr">
        <is>
          <t>3138027120</t>
        </is>
      </c>
      <c r="G39" s="17" t="inlineStr">
        <is>
          <t>K 4 17 75</t>
        </is>
      </c>
      <c r="H39" s="45" t="n">
        <v>46314</v>
      </c>
      <c r="I39" s="17" t="inlineStr">
        <is>
          <t>Sin señal de actualización específica en el registro fuente; verificar vigencia.</t>
        </is>
      </c>
      <c r="J39" s="17" t="inlineStr">
        <is>
          <t>https://www.datos.gov.co/w/m463-yj48/dneh-mcp2</t>
        </is>
      </c>
      <c r="K39" s="17" t="inlineStr">
        <is>
          <t>Registro del directorio público de hoteles; confirmar vigencia y datos antes de contactar. Dirección conservada en el formato abreviado de la fuente. | Fuente: Prospectos_NeXo_La_Dorada.xlsx</t>
        </is>
      </c>
      <c r="L39" s="19">
        <f>IF($B39="","",SUBSTITUTE(INDEX(Plantillas!$B$6:$B$15,MATCH($C39,Plantillas!$A$6:$A$15,0)),"{NEGOCIO}",$B39))</f>
        <v/>
      </c>
      <c r="M39" s="18">
        <f>IF($B39="","",SUBSTITUTE(INDEX(Plantillas!$C$6:$C$15,MATCH($C39,Plantillas!$A$6:$A$15,0)),"{NEGOCIO}",$B39))</f>
        <v/>
      </c>
      <c r="N39" s="20" t="inlineStr">
        <is>
          <t>Pendiente de verificar</t>
        </is>
      </c>
      <c r="O39" s="20" t="inlineStr">
        <is>
          <t>Pendiente de revisar</t>
        </is>
      </c>
      <c r="P39" s="20" t="inlineStr">
        <is>
          <t>Pendiente de revisión</t>
        </is>
      </c>
      <c r="Q39" s="46" t="n"/>
      <c r="R39" s="20" t="n"/>
      <c r="S39" s="20" t="inlineStr">
        <is>
          <t>Pendiente</t>
        </is>
      </c>
    </row>
    <row r="40" ht="36" customHeight="1">
      <c r="A40" s="21" t="inlineStr">
        <is>
          <t>NX-036</t>
        </is>
      </c>
      <c r="B40" s="17" t="inlineStr">
        <is>
          <t>POSADA BUCARAMANGA</t>
        </is>
      </c>
      <c r="C40" s="20" t="inlineStr">
        <is>
          <t>Hoteles y hospedajes</t>
        </is>
      </c>
      <c r="D40" s="17" t="inlineStr">
        <is>
          <t>Hotel / hospedaje</t>
        </is>
      </c>
      <c r="E40" s="17" t="inlineStr">
        <is>
          <t>mariacastellanos@gmail.com</t>
        </is>
      </c>
      <c r="F40" s="17" t="inlineStr">
        <is>
          <t>3218013554</t>
        </is>
      </c>
      <c r="G40" s="17" t="inlineStr">
        <is>
          <t>K 4 17 39</t>
        </is>
      </c>
      <c r="H40" s="45" t="n">
        <v>46314</v>
      </c>
      <c r="I40" s="17" t="inlineStr">
        <is>
          <t>Sin señal de actualización específica en el registro fuente; verificar vigencia.</t>
        </is>
      </c>
      <c r="J40" s="17" t="inlineStr">
        <is>
          <t>https://www.datos.gov.co/w/m463-yj48/dneh-mcp2</t>
        </is>
      </c>
      <c r="K40" s="17" t="inlineStr">
        <is>
          <t>Registro del directorio público de hoteles; confirmar vigencia y datos antes de contactar. Dirección conservada en el formato abreviado de la fuente. | Fuente: Prospectos_NeXo_La_Dorada.xlsx</t>
        </is>
      </c>
      <c r="L40" s="19">
        <f>IF($B40="","",SUBSTITUTE(INDEX(Plantillas!$B$6:$B$15,MATCH($C40,Plantillas!$A$6:$A$15,0)),"{NEGOCIO}",$B40))</f>
        <v/>
      </c>
      <c r="M40" s="18">
        <f>IF($B40="","",SUBSTITUTE(INDEX(Plantillas!$C$6:$C$15,MATCH($C40,Plantillas!$A$6:$A$15,0)),"{NEGOCIO}",$B40))</f>
        <v/>
      </c>
      <c r="N40" s="20" t="inlineStr">
        <is>
          <t>Pendiente de verificar</t>
        </is>
      </c>
      <c r="O40" s="20" t="inlineStr">
        <is>
          <t>Pendiente de revisar</t>
        </is>
      </c>
      <c r="P40" s="20" t="inlineStr">
        <is>
          <t>Pendiente de revisión</t>
        </is>
      </c>
      <c r="Q40" s="46" t="n"/>
      <c r="R40" s="20" t="n"/>
      <c r="S40" s="20" t="inlineStr">
        <is>
          <t>Pendiente</t>
        </is>
      </c>
    </row>
    <row r="41" ht="36" customHeight="1">
      <c r="A41" s="21" t="inlineStr">
        <is>
          <t>NX-037</t>
        </is>
      </c>
      <c r="B41" s="17" t="inlineStr">
        <is>
          <t>CENTRO CALDAS</t>
        </is>
      </c>
      <c r="C41" s="20" t="inlineStr">
        <is>
          <t>Hoteles y hospedajes</t>
        </is>
      </c>
      <c r="D41" s="17" t="inlineStr">
        <is>
          <t>Hotel / hospedaje</t>
        </is>
      </c>
      <c r="E41" s="17" t="inlineStr">
        <is>
          <t>sahira_a2008@hotmail.com</t>
        </is>
      </c>
      <c r="F41" s="17" t="inlineStr">
        <is>
          <t>3104697188</t>
        </is>
      </c>
      <c r="G41" s="17" t="inlineStr">
        <is>
          <t>C 15 5 38</t>
        </is>
      </c>
      <c r="H41" s="45" t="n">
        <v>46314</v>
      </c>
      <c r="I41" s="17" t="inlineStr">
        <is>
          <t>Sin señal de actualización específica en el registro fuente; verificar vigencia.</t>
        </is>
      </c>
      <c r="J41" s="17" t="inlineStr">
        <is>
          <t>https://www.datos.gov.co/w/m463-yj48/dneh-mcp2</t>
        </is>
      </c>
      <c r="K41" s="17" t="inlineStr">
        <is>
          <t>Registro del directorio público de hoteles; confirmar vigencia y datos antes de contactar. Dirección conservada en el formato abreviado de la fuente. | Fuente: Prospectos_NeXo_La_Dorada.xlsx</t>
        </is>
      </c>
      <c r="L41" s="19">
        <f>IF($B41="","",SUBSTITUTE(INDEX(Plantillas!$B$6:$B$15,MATCH($C41,Plantillas!$A$6:$A$15,0)),"{NEGOCIO}",$B41))</f>
        <v/>
      </c>
      <c r="M41" s="18">
        <f>IF($B41="","",SUBSTITUTE(INDEX(Plantillas!$C$6:$C$15,MATCH($C41,Plantillas!$A$6:$A$15,0)),"{NEGOCIO}",$B41))</f>
        <v/>
      </c>
      <c r="N41" s="20" t="inlineStr">
        <is>
          <t>Pendiente de verificar</t>
        </is>
      </c>
      <c r="O41" s="20" t="inlineStr">
        <is>
          <t>Pendiente de revisar</t>
        </is>
      </c>
      <c r="P41" s="20" t="inlineStr">
        <is>
          <t>Pendiente de revisión</t>
        </is>
      </c>
      <c r="Q41" s="46" t="n"/>
      <c r="R41" s="20" t="n"/>
      <c r="S41" s="20" t="inlineStr">
        <is>
          <t>Pendiente</t>
        </is>
      </c>
    </row>
    <row r="42" ht="36" customHeight="1">
      <c r="A42" s="21" t="inlineStr">
        <is>
          <t>NX-038</t>
        </is>
      </c>
      <c r="B42" s="17" t="inlineStr">
        <is>
          <t>BALCONES DE SAN DIEGO</t>
        </is>
      </c>
      <c r="C42" s="20" t="inlineStr">
        <is>
          <t>Hoteles y hospedajes</t>
        </is>
      </c>
      <c r="D42" s="17" t="inlineStr">
        <is>
          <t>Hotel / hospedaje</t>
        </is>
      </c>
      <c r="E42" s="17" t="inlineStr">
        <is>
          <t>vidal.ltda@hotmail.com</t>
        </is>
      </c>
      <c r="F42" s="17" t="inlineStr">
        <is>
          <t>3112023595</t>
        </is>
      </c>
      <c r="G42" s="17" t="inlineStr">
        <is>
          <t>K 5 15 25</t>
        </is>
      </c>
      <c r="H42" s="45" t="n">
        <v>46314</v>
      </c>
      <c r="I42" s="17" t="inlineStr">
        <is>
          <t>Sin señal de actualización específica en el registro fuente; verificar vigencia.</t>
        </is>
      </c>
      <c r="J42" s="17" t="inlineStr">
        <is>
          <t>https://www.datos.gov.co/w/m463-yj48/dneh-mcp2</t>
        </is>
      </c>
      <c r="K42" s="17" t="inlineStr">
        <is>
          <t>Registro del directorio público de hoteles; confirmar vigencia y datos antes de contactar. Dirección conservada en el formato abreviado de la fuente. El teléfono aparece también asociado a Distribuidora Vidal en otra ficha. | Fuente: Prospectos_NeXo_La_Dorada.xlsx</t>
        </is>
      </c>
      <c r="L42" s="19">
        <f>IF($B42="","",SUBSTITUTE(INDEX(Plantillas!$B$6:$B$15,MATCH($C42,Plantillas!$A$6:$A$15,0)),"{NEGOCIO}",$B42))</f>
        <v/>
      </c>
      <c r="M42" s="18">
        <f>IF($B42="","",SUBSTITUTE(INDEX(Plantillas!$C$6:$C$15,MATCH($C42,Plantillas!$A$6:$A$15,0)),"{NEGOCIO}",$B42))</f>
        <v/>
      </c>
      <c r="N42" s="20" t="inlineStr">
        <is>
          <t>Pendiente de verificar</t>
        </is>
      </c>
      <c r="O42" s="20" t="inlineStr">
        <is>
          <t>Pendiente de revisar</t>
        </is>
      </c>
      <c r="P42" s="20" t="inlineStr">
        <is>
          <t>Pendiente de revisión</t>
        </is>
      </c>
      <c r="Q42" s="46" t="n"/>
      <c r="R42" s="20" t="n"/>
      <c r="S42" s="20" t="inlineStr">
        <is>
          <t>Pendiente</t>
        </is>
      </c>
    </row>
    <row r="43" ht="36" customHeight="1">
      <c r="A43" s="21" t="inlineStr">
        <is>
          <t>NX-039</t>
        </is>
      </c>
      <c r="B43" s="17" t="inlineStr">
        <is>
          <t>SAN FRANCISCO</t>
        </is>
      </c>
      <c r="C43" s="20" t="inlineStr">
        <is>
          <t>Hoteles y hospedajes</t>
        </is>
      </c>
      <c r="D43" s="17" t="inlineStr">
        <is>
          <t>Hotel / hospedaje</t>
        </is>
      </c>
      <c r="E43" s="17" t="inlineStr">
        <is>
          <t>jhojhithann@gmail.com</t>
        </is>
      </c>
      <c r="F43" s="17" t="inlineStr">
        <is>
          <t>3214109929</t>
        </is>
      </c>
      <c r="G43" s="17" t="inlineStr">
        <is>
          <t>K 5 15 67</t>
        </is>
      </c>
      <c r="H43" s="45" t="n">
        <v>46314</v>
      </c>
      <c r="I43" s="17" t="inlineStr">
        <is>
          <t>Sin señal de actualización específica en el registro fuente; verificar vigencia.</t>
        </is>
      </c>
      <c r="J43" s="17" t="inlineStr">
        <is>
          <t>https://www.datos.gov.co/w/m463-yj48/dneh-mcp2</t>
        </is>
      </c>
      <c r="K43" s="17" t="inlineStr">
        <is>
          <t>Registro del directorio público de hoteles; confirmar vigencia y datos antes de contactar. Dirección conservada en el formato abreviado de la fuente. | Fuente: Prospectos_NeXo_La_Dorada.xlsx</t>
        </is>
      </c>
      <c r="L43" s="19">
        <f>IF($B43="","",SUBSTITUTE(INDEX(Plantillas!$B$6:$B$15,MATCH($C43,Plantillas!$A$6:$A$15,0)),"{NEGOCIO}",$B43))</f>
        <v/>
      </c>
      <c r="M43" s="18">
        <f>IF($B43="","",SUBSTITUTE(INDEX(Plantillas!$C$6:$C$15,MATCH($C43,Plantillas!$A$6:$A$15,0)),"{NEGOCIO}",$B43))</f>
        <v/>
      </c>
      <c r="N43" s="20" t="inlineStr">
        <is>
          <t>Pendiente de verificar</t>
        </is>
      </c>
      <c r="O43" s="20" t="inlineStr">
        <is>
          <t>Pendiente de revisar</t>
        </is>
      </c>
      <c r="P43" s="20" t="inlineStr">
        <is>
          <t>Pendiente de revisión</t>
        </is>
      </c>
      <c r="Q43" s="46" t="n"/>
      <c r="R43" s="20" t="n"/>
      <c r="S43" s="20" t="inlineStr">
        <is>
          <t>Pendiente</t>
        </is>
      </c>
    </row>
    <row r="44" ht="36" customHeight="1">
      <c r="A44" s="21" t="inlineStr">
        <is>
          <t>NX-040</t>
        </is>
      </c>
      <c r="B44" s="17" t="inlineStr">
        <is>
          <t>RESIDENCIAS TULIPAN</t>
        </is>
      </c>
      <c r="C44" s="20" t="inlineStr">
        <is>
          <t>Hoteles y hospedajes</t>
        </is>
      </c>
      <c r="D44" s="17" t="inlineStr">
        <is>
          <t>Hotel / hospedaje</t>
        </is>
      </c>
      <c r="E44" s="17" t="inlineStr">
        <is>
          <t>nancyj6820@gmail.com</t>
        </is>
      </c>
      <c r="F44" s="17" t="inlineStr">
        <is>
          <t>3153785239</t>
        </is>
      </c>
      <c r="G44" s="17" t="inlineStr">
        <is>
          <t>K 5 16 29</t>
        </is>
      </c>
      <c r="H44" s="45" t="n">
        <v>46314</v>
      </c>
      <c r="I44" s="17" t="inlineStr">
        <is>
          <t>Sin señal de actualización específica en el registro fuente; verificar vigencia.</t>
        </is>
      </c>
      <c r="J44" s="17" t="inlineStr">
        <is>
          <t>https://www.datos.gov.co/w/m463-yj48/dneh-mcp2</t>
        </is>
      </c>
      <c r="K44" s="17" t="inlineStr">
        <is>
          <t>Registro del directorio público de hoteles; confirmar vigencia y datos antes de contactar. Dirección conservada en el formato abreviado de la fuente. | Fuente: Prospectos_NeXo_La_Dorada.xlsx</t>
        </is>
      </c>
      <c r="L44" s="19">
        <f>IF($B44="","",SUBSTITUTE(INDEX(Plantillas!$B$6:$B$15,MATCH($C44,Plantillas!$A$6:$A$15,0)),"{NEGOCIO}",$B44))</f>
        <v/>
      </c>
      <c r="M44" s="18">
        <f>IF($B44="","",SUBSTITUTE(INDEX(Plantillas!$C$6:$C$15,MATCH($C44,Plantillas!$A$6:$A$15,0)),"{NEGOCIO}",$B44))</f>
        <v/>
      </c>
      <c r="N44" s="20" t="inlineStr">
        <is>
          <t>Pendiente de verificar</t>
        </is>
      </c>
      <c r="O44" s="20" t="inlineStr">
        <is>
          <t>Pendiente de revisar</t>
        </is>
      </c>
      <c r="P44" s="20" t="inlineStr">
        <is>
          <t>Pendiente de revisión</t>
        </is>
      </c>
      <c r="Q44" s="46" t="n"/>
      <c r="R44" s="20" t="n"/>
      <c r="S44" s="20" t="inlineStr">
        <is>
          <t>Pendiente</t>
        </is>
      </c>
    </row>
    <row r="45" ht="36" customHeight="1">
      <c r="A45" s="21" t="inlineStr">
        <is>
          <t>NX-041</t>
        </is>
      </c>
      <c r="B45" s="17" t="inlineStr">
        <is>
          <t>EL PRADO PLAZA</t>
        </is>
      </c>
      <c r="C45" s="20" t="inlineStr">
        <is>
          <t>Hoteles y hospedajes</t>
        </is>
      </c>
      <c r="D45" s="17" t="inlineStr">
        <is>
          <t>Hotel / hospedaje</t>
        </is>
      </c>
      <c r="E45" s="17" t="inlineStr">
        <is>
          <t>nadia.p.23@hotmail.com</t>
        </is>
      </c>
      <c r="F45" s="17" t="inlineStr">
        <is>
          <t>3113304606</t>
        </is>
      </c>
      <c r="G45" s="17" t="inlineStr">
        <is>
          <t>K 5 16 31</t>
        </is>
      </c>
      <c r="H45" s="45" t="n">
        <v>46314</v>
      </c>
      <c r="I45" s="17" t="inlineStr">
        <is>
          <t>Sin señal de actualización específica en el registro fuente; verificar vigencia.</t>
        </is>
      </c>
      <c r="J45" s="17" t="inlineStr">
        <is>
          <t>https://www.datos.gov.co/w/m463-yj48/dneh-mcp2</t>
        </is>
      </c>
      <c r="K45" s="17" t="inlineStr">
        <is>
          <t>Registro del directorio público de hoteles; confirmar vigencia y datos antes de contactar. Dirección conservada en el formato abreviado de la fuente. | Fuente: Prospectos_NeXo_La_Dorada.xlsx</t>
        </is>
      </c>
      <c r="L45" s="19">
        <f>IF($B45="","",SUBSTITUTE(INDEX(Plantillas!$B$6:$B$15,MATCH($C45,Plantillas!$A$6:$A$15,0)),"{NEGOCIO}",$B45))</f>
        <v/>
      </c>
      <c r="M45" s="18">
        <f>IF($B45="","",SUBSTITUTE(INDEX(Plantillas!$C$6:$C$15,MATCH($C45,Plantillas!$A$6:$A$15,0)),"{NEGOCIO}",$B45))</f>
        <v/>
      </c>
      <c r="N45" s="20" t="inlineStr">
        <is>
          <t>Pendiente de verificar</t>
        </is>
      </c>
      <c r="O45" s="20" t="inlineStr">
        <is>
          <t>Pendiente de revisar</t>
        </is>
      </c>
      <c r="P45" s="20" t="inlineStr">
        <is>
          <t>Pendiente de revisión</t>
        </is>
      </c>
      <c r="Q45" s="46" t="n"/>
      <c r="R45" s="20" t="n"/>
      <c r="S45" s="20" t="inlineStr">
        <is>
          <t>Pendiente</t>
        </is>
      </c>
    </row>
    <row r="46" ht="36" customHeight="1">
      <c r="A46" s="21" t="inlineStr">
        <is>
          <t>NX-042</t>
        </is>
      </c>
      <c r="B46" s="17" t="inlineStr">
        <is>
          <t>AGRADO REAL</t>
        </is>
      </c>
      <c r="C46" s="20" t="inlineStr">
        <is>
          <t>Hoteles y hospedajes</t>
        </is>
      </c>
      <c r="D46" s="17" t="inlineStr">
        <is>
          <t>Hotel / hospedaje</t>
        </is>
      </c>
      <c r="E46" s="17" t="inlineStr">
        <is>
          <t>lfgonzalesf@unal.edu.co</t>
        </is>
      </c>
      <c r="F46" s="17" t="inlineStr">
        <is>
          <t>3207498824</t>
        </is>
      </c>
      <c r="G46" s="17" t="inlineStr">
        <is>
          <t>K 5 16 72</t>
        </is>
      </c>
      <c r="H46" s="45" t="n">
        <v>46314</v>
      </c>
      <c r="I46" s="17" t="inlineStr">
        <is>
          <t>Sin señal de actualización específica en el registro fuente; verificar vigencia.</t>
        </is>
      </c>
      <c r="J46" s="17" t="inlineStr">
        <is>
          <t>https://www.datos.gov.co/w/m463-yj48/dneh-mcp2</t>
        </is>
      </c>
      <c r="K46" s="17" t="inlineStr">
        <is>
          <t>Registro del directorio público de hoteles; confirmar vigencia y datos antes de contactar. Dirección conservada en el formato abreviado de la fuente. | Fuente: Prospectos_NeXo_La_Dorada.xlsx</t>
        </is>
      </c>
      <c r="L46" s="19">
        <f>IF($B46="","",SUBSTITUTE(INDEX(Plantillas!$B$6:$B$15,MATCH($C46,Plantillas!$A$6:$A$15,0)),"{NEGOCIO}",$B46))</f>
        <v/>
      </c>
      <c r="M46" s="18">
        <f>IF($B46="","",SUBSTITUTE(INDEX(Plantillas!$C$6:$C$15,MATCH($C46,Plantillas!$A$6:$A$15,0)),"{NEGOCIO}",$B46))</f>
        <v/>
      </c>
      <c r="N46" s="20" t="inlineStr">
        <is>
          <t>Pendiente de verificar</t>
        </is>
      </c>
      <c r="O46" s="20" t="inlineStr">
        <is>
          <t>Pendiente de revisar</t>
        </is>
      </c>
      <c r="P46" s="20" t="inlineStr">
        <is>
          <t>Pendiente de revisión</t>
        </is>
      </c>
      <c r="Q46" s="46" t="n"/>
      <c r="R46" s="20" t="n"/>
      <c r="S46" s="20" t="inlineStr">
        <is>
          <t>Pendiente</t>
        </is>
      </c>
    </row>
    <row r="47" ht="36" customHeight="1">
      <c r="A47" s="21" t="inlineStr">
        <is>
          <t>NX-043</t>
        </is>
      </c>
      <c r="B47" s="17" t="inlineStr">
        <is>
          <t>PALACIO</t>
        </is>
      </c>
      <c r="C47" s="20" t="inlineStr">
        <is>
          <t>Hoteles y hospedajes</t>
        </is>
      </c>
      <c r="D47" s="17" t="inlineStr">
        <is>
          <t>Hotel / hospedaje</t>
        </is>
      </c>
      <c r="E47" s="17" t="inlineStr">
        <is>
          <t>etelvinacardona@hotmail.com</t>
        </is>
      </c>
      <c r="F47" s="17" t="inlineStr">
        <is>
          <t>3134844302</t>
        </is>
      </c>
      <c r="G47" s="17" t="inlineStr">
        <is>
          <t>K 5 16 49</t>
        </is>
      </c>
      <c r="H47" s="45" t="n">
        <v>46314</v>
      </c>
      <c r="I47" s="17" t="inlineStr">
        <is>
          <t>Sin señal de actualización específica en el registro fuente; verificar vigencia.</t>
        </is>
      </c>
      <c r="J47" s="17" t="inlineStr">
        <is>
          <t>https://www.datos.gov.co/w/m463-yj48/dneh-mcp2</t>
        </is>
      </c>
      <c r="K47" s="17" t="inlineStr">
        <is>
          <t>Registro del directorio público de hoteles; confirmar vigencia y datos antes de contactar. Dirección conservada en el formato abreviado de la fuente. | Fuente: Prospectos_NeXo_La_Dorada.xlsx</t>
        </is>
      </c>
      <c r="L47" s="19">
        <f>IF($B47="","",SUBSTITUTE(INDEX(Plantillas!$B$6:$B$15,MATCH($C47,Plantillas!$A$6:$A$15,0)),"{NEGOCIO}",$B47))</f>
        <v/>
      </c>
      <c r="M47" s="18">
        <f>IF($B47="","",SUBSTITUTE(INDEX(Plantillas!$C$6:$C$15,MATCH($C47,Plantillas!$A$6:$A$15,0)),"{NEGOCIO}",$B47))</f>
        <v/>
      </c>
      <c r="N47" s="20" t="inlineStr">
        <is>
          <t>Pendiente de verificar</t>
        </is>
      </c>
      <c r="O47" s="20" t="inlineStr">
        <is>
          <t>Pendiente de revisar</t>
        </is>
      </c>
      <c r="P47" s="20" t="inlineStr">
        <is>
          <t>Pendiente de revisión</t>
        </is>
      </c>
      <c r="Q47" s="46" t="n"/>
      <c r="R47" s="20" t="n"/>
      <c r="S47" s="20" t="inlineStr">
        <is>
          <t>Pendiente</t>
        </is>
      </c>
    </row>
    <row r="48" ht="36" customHeight="1">
      <c r="A48" s="21" t="inlineStr">
        <is>
          <t>NX-044</t>
        </is>
      </c>
      <c r="B48" s="17" t="inlineStr">
        <is>
          <t>VIVIANA MARCELA TRUJILLO</t>
        </is>
      </c>
      <c r="C48" s="20" t="inlineStr">
        <is>
          <t>Hoteles y hospedajes</t>
        </is>
      </c>
      <c r="D48" s="17" t="inlineStr">
        <is>
          <t>Hotel / hospedaje</t>
        </is>
      </c>
      <c r="E48" s="17" t="inlineStr">
        <is>
          <t>vivimartruji@hotmail.com</t>
        </is>
      </c>
      <c r="F48" s="17" t="inlineStr">
        <is>
          <t>3108911904</t>
        </is>
      </c>
      <c r="G48" s="17" t="inlineStr">
        <is>
          <t>K 7 9 20</t>
        </is>
      </c>
      <c r="H48" s="45" t="n">
        <v>46314</v>
      </c>
      <c r="I48" s="17" t="inlineStr">
        <is>
          <t>Sin señal de actualización específica en el registro fuente; verificar vigencia.</t>
        </is>
      </c>
      <c r="J48" s="17" t="inlineStr">
        <is>
          <t>https://www.datos.gov.co/w/m463-yj48/dneh-mcp2</t>
        </is>
      </c>
      <c r="K48" s="17" t="inlineStr">
        <is>
          <t>Registro del directorio público de hoteles; confirmar vigencia y datos antes de contactar. Dirección conservada en el formato abreviado de la fuente. | Fuente: Prospectos_NeXo_La_Dorada.xlsx</t>
        </is>
      </c>
      <c r="L48" s="19">
        <f>IF($B48="","",SUBSTITUTE(INDEX(Plantillas!$B$6:$B$15,MATCH($C48,Plantillas!$A$6:$A$15,0)),"{NEGOCIO}",$B48))</f>
        <v/>
      </c>
      <c r="M48" s="18">
        <f>IF($B48="","",SUBSTITUTE(INDEX(Plantillas!$C$6:$C$15,MATCH($C48,Plantillas!$A$6:$A$15,0)),"{NEGOCIO}",$B48))</f>
        <v/>
      </c>
      <c r="N48" s="20" t="inlineStr">
        <is>
          <t>Pendiente de verificar</t>
        </is>
      </c>
      <c r="O48" s="20" t="inlineStr">
        <is>
          <t>Pendiente de revisar</t>
        </is>
      </c>
      <c r="P48" s="20" t="inlineStr">
        <is>
          <t>Pendiente de revisión</t>
        </is>
      </c>
      <c r="Q48" s="46" t="n"/>
      <c r="R48" s="20" t="n"/>
      <c r="S48" s="20" t="inlineStr">
        <is>
          <t>Pendiente</t>
        </is>
      </c>
    </row>
    <row r="49" ht="36" customHeight="1">
      <c r="A49" s="21" t="inlineStr">
        <is>
          <t>NX-045</t>
        </is>
      </c>
      <c r="B49" s="17" t="inlineStr">
        <is>
          <t>ECOHOTEL LA CACHAZA</t>
        </is>
      </c>
      <c r="C49" s="20" t="inlineStr">
        <is>
          <t>Hoteles y hospedajes</t>
        </is>
      </c>
      <c r="D49" s="17" t="inlineStr">
        <is>
          <t>Hotel / hospedaje</t>
        </is>
      </c>
      <c r="E49" s="17" t="inlineStr">
        <is>
          <t>csyro@mac.com</t>
        </is>
      </c>
      <c r="F49" s="17" t="inlineStr">
        <is>
          <t>3102608380</t>
        </is>
      </c>
      <c r="G49" s="17" t="inlineStr">
        <is>
          <t>POZO REDONDO</t>
        </is>
      </c>
      <c r="H49" s="45" t="n">
        <v>46314</v>
      </c>
      <c r="I49" s="17" t="inlineStr">
        <is>
          <t>Sin señal de actualización específica en el registro fuente; verificar vigencia.</t>
        </is>
      </c>
      <c r="J49" s="17" t="inlineStr">
        <is>
          <t>https://www.datos.gov.co/w/m463-yj48/dneh-mcp2</t>
        </is>
      </c>
      <c r="K49" s="17" t="inlineStr">
        <is>
          <t>Registro del directorio público de hoteles; confirmar vigencia y datos antes de contactar. Dirección conservada en el formato abreviado de la fuente. | Fuente: Prospectos_NeXo_La_Dorada.xlsx</t>
        </is>
      </c>
      <c r="L49" s="19">
        <f>IF($B49="","",SUBSTITUTE(INDEX(Plantillas!$B$6:$B$15,MATCH($C49,Plantillas!$A$6:$A$15,0)),"{NEGOCIO}",$B49))</f>
        <v/>
      </c>
      <c r="M49" s="18">
        <f>IF($B49="","",SUBSTITUTE(INDEX(Plantillas!$C$6:$C$15,MATCH($C49,Plantillas!$A$6:$A$15,0)),"{NEGOCIO}",$B49))</f>
        <v/>
      </c>
      <c r="N49" s="20" t="inlineStr">
        <is>
          <t>Pendiente de verificar</t>
        </is>
      </c>
      <c r="O49" s="20" t="inlineStr">
        <is>
          <t>Pendiente de revisar</t>
        </is>
      </c>
      <c r="P49" s="20" t="inlineStr">
        <is>
          <t>Pendiente de revisión</t>
        </is>
      </c>
      <c r="Q49" s="46" t="n"/>
      <c r="R49" s="20" t="n"/>
      <c r="S49" s="20" t="inlineStr">
        <is>
          <t>Pendiente</t>
        </is>
      </c>
    </row>
    <row r="50" ht="36" customHeight="1">
      <c r="A50" s="21" t="inlineStr">
        <is>
          <t>NX-046</t>
        </is>
      </c>
      <c r="B50" s="17" t="inlineStr">
        <is>
          <t>SAN JERONIMO QUINTA</t>
        </is>
      </c>
      <c r="C50" s="20" t="inlineStr">
        <is>
          <t>Hoteles y hospedajes</t>
        </is>
      </c>
      <c r="D50" s="17" t="inlineStr">
        <is>
          <t>Hotel / hospedaje</t>
        </is>
      </c>
      <c r="E50" s="17" t="inlineStr">
        <is>
          <t>estacionnegrito@hotmail.com</t>
        </is>
      </c>
      <c r="F50" s="17" t="inlineStr">
        <is>
          <t>3168446364</t>
        </is>
      </c>
      <c r="G50" s="17" t="inlineStr">
        <is>
          <t>K 5 11 49</t>
        </is>
      </c>
      <c r="H50" s="45" t="n">
        <v>46314</v>
      </c>
      <c r="I50" s="17" t="inlineStr">
        <is>
          <t>Sin señal de actualización específica en el registro fuente; verificar vigencia.</t>
        </is>
      </c>
      <c r="J50" s="17" t="inlineStr">
        <is>
          <t>https://www.datos.gov.co/w/m463-yj48/dneh-mcp2</t>
        </is>
      </c>
      <c r="K50" s="17" t="inlineStr">
        <is>
          <t>Registro del directorio público de hoteles; confirmar vigencia y datos antes de contactar. Dirección conservada en el formato abreviado de la fuente. | Fuente: Prospectos_NeXo_La_Dorada.xlsx</t>
        </is>
      </c>
      <c r="L50" s="19">
        <f>IF($B50="","",SUBSTITUTE(INDEX(Plantillas!$B$6:$B$15,MATCH($C50,Plantillas!$A$6:$A$15,0)),"{NEGOCIO}",$B50))</f>
        <v/>
      </c>
      <c r="M50" s="18">
        <f>IF($B50="","",SUBSTITUTE(INDEX(Plantillas!$C$6:$C$15,MATCH($C50,Plantillas!$A$6:$A$15,0)),"{NEGOCIO}",$B50))</f>
        <v/>
      </c>
      <c r="N50" s="20" t="inlineStr">
        <is>
          <t>Pendiente de verificar</t>
        </is>
      </c>
      <c r="O50" s="20" t="inlineStr">
        <is>
          <t>Pendiente de revisar</t>
        </is>
      </c>
      <c r="P50" s="20" t="inlineStr">
        <is>
          <t>Pendiente de revisión</t>
        </is>
      </c>
      <c r="Q50" s="46" t="n"/>
      <c r="R50" s="20" t="n"/>
      <c r="S50" s="20" t="inlineStr">
        <is>
          <t>Pendiente</t>
        </is>
      </c>
    </row>
    <row r="51" ht="36" customHeight="1">
      <c r="A51" s="21" t="inlineStr">
        <is>
          <t>NX-047</t>
        </is>
      </c>
      <c r="B51" s="17" t="inlineStr">
        <is>
          <t>CASA DE LUNA HOSTAL</t>
        </is>
      </c>
      <c r="C51" s="20" t="inlineStr">
        <is>
          <t>Hoteles y hospedajes</t>
        </is>
      </c>
      <c r="D51" s="17" t="inlineStr">
        <is>
          <t>Hotel / hospedaje</t>
        </is>
      </c>
      <c r="E51" s="17" t="inlineStr">
        <is>
          <t>casalunaladorada@gmail.com</t>
        </is>
      </c>
      <c r="F51" s="17" t="inlineStr">
        <is>
          <t>3155790807</t>
        </is>
      </c>
      <c r="G51" s="17" t="inlineStr">
        <is>
          <t>C 6 6 28</t>
        </is>
      </c>
      <c r="H51" s="45" t="n">
        <v>46314</v>
      </c>
      <c r="I51" s="17" t="inlineStr">
        <is>
          <t>Sin señal de actualización específica en el registro fuente; verificar vigencia.</t>
        </is>
      </c>
      <c r="J51" s="17" t="inlineStr">
        <is>
          <t>https://www.datos.gov.co/w/m463-yj48/dneh-mcp2</t>
        </is>
      </c>
      <c r="K51" s="17" t="inlineStr">
        <is>
          <t>Registro del directorio público de hoteles; confirmar vigencia y datos antes de contactar. Dirección conservada en el formato abreviado de la fuente. | Fuente: Prospectos_NeXo_La_Dorada.xlsx</t>
        </is>
      </c>
      <c r="L51" s="19">
        <f>IF($B51="","",SUBSTITUTE(INDEX(Plantillas!$B$6:$B$15,MATCH($C51,Plantillas!$A$6:$A$15,0)),"{NEGOCIO}",$B51))</f>
        <v/>
      </c>
      <c r="M51" s="18">
        <f>IF($B51="","",SUBSTITUTE(INDEX(Plantillas!$C$6:$C$15,MATCH($C51,Plantillas!$A$6:$A$15,0)),"{NEGOCIO}",$B51))</f>
        <v/>
      </c>
      <c r="N51" s="20" t="inlineStr">
        <is>
          <t>Pendiente de verificar</t>
        </is>
      </c>
      <c r="O51" s="20" t="inlineStr">
        <is>
          <t>Pendiente de revisar</t>
        </is>
      </c>
      <c r="P51" s="20" t="inlineStr">
        <is>
          <t>Pendiente de revisión</t>
        </is>
      </c>
      <c r="Q51" s="46" t="n"/>
      <c r="R51" s="20" t="n"/>
      <c r="S51" s="20" t="inlineStr">
        <is>
          <t>Pendiente</t>
        </is>
      </c>
    </row>
    <row r="52" ht="36" customHeight="1">
      <c r="A52" s="21" t="inlineStr">
        <is>
          <t>NX-048</t>
        </is>
      </c>
      <c r="B52" s="17" t="inlineStr">
        <is>
          <t>BRISAS DEL RIO LA MIEL</t>
        </is>
      </c>
      <c r="C52" s="20" t="inlineStr">
        <is>
          <t>Hoteles y hospedajes</t>
        </is>
      </c>
      <c r="D52" s="17" t="inlineStr">
        <is>
          <t>Hotel / hospedaje</t>
        </is>
      </c>
      <c r="E52" s="17" t="inlineStr">
        <is>
          <t>miryamdelgado@hotmail.es</t>
        </is>
      </c>
      <c r="F52" s="17" t="inlineStr">
        <is>
          <t>3117490817</t>
        </is>
      </c>
      <c r="G52" s="17" t="inlineStr">
        <is>
          <t>LA ATARRAYA</t>
        </is>
      </c>
      <c r="H52" s="45" t="n">
        <v>46314</v>
      </c>
      <c r="I52" s="17" t="inlineStr">
        <is>
          <t>Sin señal de actualización específica en el registro fuente; verificar vigencia.</t>
        </is>
      </c>
      <c r="J52" s="17" t="inlineStr">
        <is>
          <t>https://www.datos.gov.co/w/m463-yj48/dneh-mcp2</t>
        </is>
      </c>
      <c r="K52" s="17" t="inlineStr">
        <is>
          <t>Registro del directorio público de hoteles; confirmar vigencia y datos antes de contactar. Dirección conservada en el formato abreviado de la fuente. | Fuente: Prospectos_NeXo_La_Dorada.xlsx</t>
        </is>
      </c>
      <c r="L52" s="19">
        <f>IF($B52="","",SUBSTITUTE(INDEX(Plantillas!$B$6:$B$15,MATCH($C52,Plantillas!$A$6:$A$15,0)),"{NEGOCIO}",$B52))</f>
        <v/>
      </c>
      <c r="M52" s="18">
        <f>IF($B52="","",SUBSTITUTE(INDEX(Plantillas!$C$6:$C$15,MATCH($C52,Plantillas!$A$6:$A$15,0)),"{NEGOCIO}",$B52))</f>
        <v/>
      </c>
      <c r="N52" s="20" t="inlineStr">
        <is>
          <t>Pendiente de verificar</t>
        </is>
      </c>
      <c r="O52" s="20" t="inlineStr">
        <is>
          <t>Pendiente de revisar</t>
        </is>
      </c>
      <c r="P52" s="20" t="inlineStr">
        <is>
          <t>Pendiente de revisión</t>
        </is>
      </c>
      <c r="Q52" s="46" t="n"/>
      <c r="R52" s="20" t="n"/>
      <c r="S52" s="20" t="inlineStr">
        <is>
          <t>Pendiente</t>
        </is>
      </c>
    </row>
    <row r="53" ht="36" customHeight="1">
      <c r="A53" s="21" t="inlineStr">
        <is>
          <t>NX-049</t>
        </is>
      </c>
      <c r="B53" s="17" t="inlineStr">
        <is>
          <t>GRAN CURACA</t>
        </is>
      </c>
      <c r="C53" s="20" t="inlineStr">
        <is>
          <t>Hoteles y hospedajes</t>
        </is>
      </c>
      <c r="D53" s="17" t="inlineStr">
        <is>
          <t>Hotel / hospedaje</t>
        </is>
      </c>
      <c r="E53" s="17" t="inlineStr">
        <is>
          <t>hotelgrancuraca@hotmail.com</t>
        </is>
      </c>
      <c r="F53" s="17" t="inlineStr">
        <is>
          <t>3195185650</t>
        </is>
      </c>
      <c r="G53" s="17" t="inlineStr">
        <is>
          <t>K 6 17 41</t>
        </is>
      </c>
      <c r="H53" s="45" t="n">
        <v>46314</v>
      </c>
      <c r="I53" s="17" t="inlineStr">
        <is>
          <t>Sin señal de actualización específica en el registro fuente; verificar vigencia.</t>
        </is>
      </c>
      <c r="J53" s="17" t="inlineStr">
        <is>
          <t>https://www.datos.gov.co/w/m463-yj48/dneh-mcp2</t>
        </is>
      </c>
      <c r="K53" s="17" t="inlineStr">
        <is>
          <t>Registro del directorio público de hoteles; confirmar vigencia y datos antes de contactar. Dirección conservada en el formato abreviado de la fuente. | Fuente: Prospectos_NeXo_La_Dorada.xlsx</t>
        </is>
      </c>
      <c r="L53" s="19">
        <f>IF($B53="","",SUBSTITUTE(INDEX(Plantillas!$B$6:$B$15,MATCH($C53,Plantillas!$A$6:$A$15,0)),"{NEGOCIO}",$B53))</f>
        <v/>
      </c>
      <c r="M53" s="18">
        <f>IF($B53="","",SUBSTITUTE(INDEX(Plantillas!$C$6:$C$15,MATCH($C53,Plantillas!$A$6:$A$15,0)),"{NEGOCIO}",$B53))</f>
        <v/>
      </c>
      <c r="N53" s="20" t="inlineStr">
        <is>
          <t>Pendiente de verificar</t>
        </is>
      </c>
      <c r="O53" s="20" t="inlineStr">
        <is>
          <t>Pendiente de revisar</t>
        </is>
      </c>
      <c r="P53" s="20" t="inlineStr">
        <is>
          <t>Pendiente de revisión</t>
        </is>
      </c>
      <c r="Q53" s="46" t="n"/>
      <c r="R53" s="20" t="n"/>
      <c r="S53" s="20" t="inlineStr">
        <is>
          <t>Pendiente</t>
        </is>
      </c>
    </row>
    <row r="54" ht="36" customHeight="1">
      <c r="A54" s="21" t="inlineStr">
        <is>
          <t>NX-050</t>
        </is>
      </c>
      <c r="B54" s="17" t="inlineStr">
        <is>
          <t>UN BUEN AMANECER</t>
        </is>
      </c>
      <c r="C54" s="20" t="inlineStr">
        <is>
          <t>Hoteles y hospedajes</t>
        </is>
      </c>
      <c r="D54" s="17" t="inlineStr">
        <is>
          <t>Hotel / hospedaje</t>
        </is>
      </c>
      <c r="E54" s="17" t="inlineStr">
        <is>
          <t>dianap2302@hotmail.com</t>
        </is>
      </c>
      <c r="F54" s="17" t="inlineStr">
        <is>
          <t>3136682198</t>
        </is>
      </c>
      <c r="G54" s="17" t="inlineStr">
        <is>
          <t>K 6 13 37</t>
        </is>
      </c>
      <c r="H54" s="45" t="n">
        <v>46314</v>
      </c>
      <c r="I54" s="17" t="inlineStr">
        <is>
          <t>Sin señal de actualización específica en el registro fuente; verificar vigencia.</t>
        </is>
      </c>
      <c r="J54" s="17" t="inlineStr">
        <is>
          <t>https://www.datos.gov.co/w/m463-yj48/dneh-mcp2</t>
        </is>
      </c>
      <c r="K54" s="17" t="inlineStr">
        <is>
          <t>Registro del directorio público de hoteles; confirmar vigencia y datos antes de contactar. Dirección conservada en el formato abreviado de la fuente. | Fuente: Prospectos_NeXo_La_Dorada.xlsx</t>
        </is>
      </c>
      <c r="L54" s="19">
        <f>IF($B54="","",SUBSTITUTE(INDEX(Plantillas!$B$6:$B$15,MATCH($C54,Plantillas!$A$6:$A$15,0)),"{NEGOCIO}",$B54))</f>
        <v/>
      </c>
      <c r="M54" s="18">
        <f>IF($B54="","",SUBSTITUTE(INDEX(Plantillas!$C$6:$C$15,MATCH($C54,Plantillas!$A$6:$A$15,0)),"{NEGOCIO}",$B54))</f>
        <v/>
      </c>
      <c r="N54" s="20" t="inlineStr">
        <is>
          <t>Pendiente de verificar</t>
        </is>
      </c>
      <c r="O54" s="20" t="inlineStr">
        <is>
          <t>Pendiente de revisar</t>
        </is>
      </c>
      <c r="P54" s="20" t="inlineStr">
        <is>
          <t>Pendiente de revisión</t>
        </is>
      </c>
      <c r="Q54" s="46" t="n"/>
      <c r="R54" s="20" t="n"/>
      <c r="S54" s="20" t="inlineStr">
        <is>
          <t>Pendiente</t>
        </is>
      </c>
    </row>
    <row r="55" ht="36" customHeight="1">
      <c r="A55" s="21" t="inlineStr">
        <is>
          <t>NX-051</t>
        </is>
      </c>
      <c r="B55" s="17" t="inlineStr">
        <is>
          <t>CALIFORNIA DORADA</t>
        </is>
      </c>
      <c r="C55" s="20" t="inlineStr">
        <is>
          <t>Hoteles y hospedajes</t>
        </is>
      </c>
      <c r="D55" s="17" t="inlineStr">
        <is>
          <t>Hotel / hospedaje</t>
        </is>
      </c>
      <c r="E55" s="17" t="inlineStr">
        <is>
          <t>martha_luza@hotmail.com</t>
        </is>
      </c>
      <c r="F55" s="17" t="inlineStr">
        <is>
          <t>3146870504</t>
        </is>
      </c>
      <c r="G55" s="17" t="inlineStr">
        <is>
          <t>K 3 16 46</t>
        </is>
      </c>
      <c r="H55" s="45" t="n">
        <v>46314</v>
      </c>
      <c r="I55" s="17" t="inlineStr">
        <is>
          <t>Sin señal de actualización específica en el registro fuente; verificar vigencia.</t>
        </is>
      </c>
      <c r="J55" s="17" t="inlineStr">
        <is>
          <t>https://www.datos.gov.co/w/m463-yj48/dneh-mcp2</t>
        </is>
      </c>
      <c r="K55" s="17" t="inlineStr">
        <is>
          <t>Registro del directorio público de hoteles; confirmar vigencia y datos antes de contactar. Dirección conservada en el formato abreviado de la fuente. Teléfono compartido entre ambas fichas del directorio. | Fuente: Prospectos_NeXo_La_Dorada.xlsx</t>
        </is>
      </c>
      <c r="L55" s="19">
        <f>IF($B55="","",SUBSTITUTE(INDEX(Plantillas!$B$6:$B$15,MATCH($C55,Plantillas!$A$6:$A$15,0)),"{NEGOCIO}",$B55))</f>
        <v/>
      </c>
      <c r="M55" s="18">
        <f>IF($B55="","",SUBSTITUTE(INDEX(Plantillas!$C$6:$C$15,MATCH($C55,Plantillas!$A$6:$A$15,0)),"{NEGOCIO}",$B55))</f>
        <v/>
      </c>
      <c r="N55" s="20" t="inlineStr">
        <is>
          <t>Pendiente de verificar</t>
        </is>
      </c>
      <c r="O55" s="20" t="inlineStr">
        <is>
          <t>Pendiente de revisar</t>
        </is>
      </c>
      <c r="P55" s="20" t="inlineStr">
        <is>
          <t>Pendiente de revisión</t>
        </is>
      </c>
      <c r="Q55" s="46" t="n"/>
      <c r="R55" s="20" t="n"/>
      <c r="S55" s="20" t="inlineStr">
        <is>
          <t>Pendiente</t>
        </is>
      </c>
    </row>
    <row r="56" ht="36" customHeight="1">
      <c r="A56" s="21" t="inlineStr">
        <is>
          <t>NX-052</t>
        </is>
      </c>
      <c r="B56" s="17" t="inlineStr">
        <is>
          <t>LA QUINTA</t>
        </is>
      </c>
      <c r="C56" s="20" t="inlineStr">
        <is>
          <t>Hoteles y hospedajes</t>
        </is>
      </c>
      <c r="D56" s="17" t="inlineStr">
        <is>
          <t>Hotel / hospedaje</t>
        </is>
      </c>
      <c r="E56" s="17" t="inlineStr">
        <is>
          <t>ivandasan@gmail.com</t>
        </is>
      </c>
      <c r="F56" s="17" t="inlineStr">
        <is>
          <t>3006178111</t>
        </is>
      </c>
      <c r="G56" s="17" t="inlineStr">
        <is>
          <t>K 5 14 53</t>
        </is>
      </c>
      <c r="H56" s="45" t="n">
        <v>46314</v>
      </c>
      <c r="I56" s="17" t="inlineStr">
        <is>
          <t>Sin señal de actualización específica en el registro fuente; verificar vigencia.</t>
        </is>
      </c>
      <c r="J56" s="17" t="inlineStr">
        <is>
          <t>https://www.datos.gov.co/w/m463-yj48/dneh-mcp2</t>
        </is>
      </c>
      <c r="K56" s="17" t="inlineStr">
        <is>
          <t>Registro del directorio público de hoteles; confirmar vigencia y datos antes de contactar. Dirección conservada en el formato abreviado de la fuente. | Fuente: Prospectos_NeXo_La_Dorada.xlsx</t>
        </is>
      </c>
      <c r="L56" s="19">
        <f>IF($B56="","",SUBSTITUTE(INDEX(Plantillas!$B$6:$B$15,MATCH($C56,Plantillas!$A$6:$A$15,0)),"{NEGOCIO}",$B56))</f>
        <v/>
      </c>
      <c r="M56" s="18">
        <f>IF($B56="","",SUBSTITUTE(INDEX(Plantillas!$C$6:$C$15,MATCH($C56,Plantillas!$A$6:$A$15,0)),"{NEGOCIO}",$B56))</f>
        <v/>
      </c>
      <c r="N56" s="20" t="inlineStr">
        <is>
          <t>Pendiente de verificar</t>
        </is>
      </c>
      <c r="O56" s="20" t="inlineStr">
        <is>
          <t>Pendiente de revisar</t>
        </is>
      </c>
      <c r="P56" s="20" t="inlineStr">
        <is>
          <t>Pendiente de revisión</t>
        </is>
      </c>
      <c r="Q56" s="46" t="n"/>
      <c r="R56" s="20" t="n"/>
      <c r="S56" s="20" t="inlineStr">
        <is>
          <t>Pendiente</t>
        </is>
      </c>
    </row>
    <row r="57" ht="36" customHeight="1">
      <c r="A57" s="21" t="inlineStr">
        <is>
          <t>NX-053</t>
        </is>
      </c>
      <c r="B57" s="17" t="inlineStr">
        <is>
          <t>RESISIDENCIAS MONTREAL</t>
        </is>
      </c>
      <c r="C57" s="20" t="inlineStr">
        <is>
          <t>Hoteles y hospedajes</t>
        </is>
      </c>
      <c r="D57" s="17" t="inlineStr">
        <is>
          <t>Hotel / hospedaje</t>
        </is>
      </c>
      <c r="E57" s="17" t="inlineStr">
        <is>
          <t>carmenrodriguez2001@hotmail.com</t>
        </is>
      </c>
      <c r="F57" s="17" t="inlineStr">
        <is>
          <t>3113644593</t>
        </is>
      </c>
      <c r="G57" s="17" t="inlineStr">
        <is>
          <t>K 6 14 45</t>
        </is>
      </c>
      <c r="H57" s="45" t="n">
        <v>46314</v>
      </c>
      <c r="I57" s="17" t="inlineStr">
        <is>
          <t>Sin señal de actualización específica en el registro fuente; verificar vigencia.</t>
        </is>
      </c>
      <c r="J57" s="17" t="inlineStr">
        <is>
          <t>https://www.datos.gov.co/w/m463-yj48/dneh-mcp2</t>
        </is>
      </c>
      <c r="K57" s="17" t="inlineStr">
        <is>
          <t>Registro del directorio público de hoteles; confirmar vigencia y datos antes de contactar. Dirección conservada en el formato abreviado de la fuente. | Fuente: Prospectos_NeXo_La_Dorada.xlsx</t>
        </is>
      </c>
      <c r="L57" s="19">
        <f>IF($B57="","",SUBSTITUTE(INDEX(Plantillas!$B$6:$B$15,MATCH($C57,Plantillas!$A$6:$A$15,0)),"{NEGOCIO}",$B57))</f>
        <v/>
      </c>
      <c r="M57" s="18">
        <f>IF($B57="","",SUBSTITUTE(INDEX(Plantillas!$C$6:$C$15,MATCH($C57,Plantillas!$A$6:$A$15,0)),"{NEGOCIO}",$B57))</f>
        <v/>
      </c>
      <c r="N57" s="20" t="inlineStr">
        <is>
          <t>Pendiente de verificar</t>
        </is>
      </c>
      <c r="O57" s="20" t="inlineStr">
        <is>
          <t>Pendiente de revisar</t>
        </is>
      </c>
      <c r="P57" s="20" t="inlineStr">
        <is>
          <t>Pendiente de revisión</t>
        </is>
      </c>
      <c r="Q57" s="46" t="n"/>
      <c r="R57" s="20" t="n"/>
      <c r="S57" s="20" t="inlineStr">
        <is>
          <t>Pendiente</t>
        </is>
      </c>
    </row>
    <row r="58" ht="36" customHeight="1">
      <c r="A58" s="21" t="inlineStr">
        <is>
          <t>NX-054</t>
        </is>
      </c>
      <c r="B58" s="17" t="inlineStr">
        <is>
          <t>CARIBE LA DORADA</t>
        </is>
      </c>
      <c r="C58" s="20" t="inlineStr">
        <is>
          <t>Hoteles y hospedajes</t>
        </is>
      </c>
      <c r="D58" s="17" t="inlineStr">
        <is>
          <t>Hotel / hospedaje</t>
        </is>
      </c>
      <c r="E58" s="17" t="inlineStr">
        <is>
          <t>lucho-3115@hotmail.com</t>
        </is>
      </c>
      <c r="F58" s="17" t="inlineStr">
        <is>
          <t>3154754058</t>
        </is>
      </c>
      <c r="G58" s="17" t="inlineStr">
        <is>
          <t>K 5 14 26</t>
        </is>
      </c>
      <c r="H58" s="45" t="n">
        <v>46314</v>
      </c>
      <c r="I58" s="17" t="inlineStr">
        <is>
          <t>Sin señal de actualización específica en el registro fuente; verificar vigencia.</t>
        </is>
      </c>
      <c r="J58" s="17" t="inlineStr">
        <is>
          <t>https://www.datos.gov.co/w/m463-yj48/dneh-mcp2</t>
        </is>
      </c>
      <c r="K58" s="17" t="inlineStr">
        <is>
          <t>Registro del directorio público de hoteles; confirmar vigencia y datos antes de contactar. Dirección conservada en el formato abreviado de la fuente. | Fuente: Prospectos_NeXo_La_Dorada.xlsx</t>
        </is>
      </c>
      <c r="L58" s="19">
        <f>IF($B58="","",SUBSTITUTE(INDEX(Plantillas!$B$6:$B$15,MATCH($C58,Plantillas!$A$6:$A$15,0)),"{NEGOCIO}",$B58))</f>
        <v/>
      </c>
      <c r="M58" s="18">
        <f>IF($B58="","",SUBSTITUTE(INDEX(Plantillas!$C$6:$C$15,MATCH($C58,Plantillas!$A$6:$A$15,0)),"{NEGOCIO}",$B58))</f>
        <v/>
      </c>
      <c r="N58" s="20" t="inlineStr">
        <is>
          <t>Pendiente de verificar</t>
        </is>
      </c>
      <c r="O58" s="20" t="inlineStr">
        <is>
          <t>Pendiente de revisar</t>
        </is>
      </c>
      <c r="P58" s="20" t="inlineStr">
        <is>
          <t>Pendiente de revisión</t>
        </is>
      </c>
      <c r="Q58" s="46" t="n"/>
      <c r="R58" s="20" t="n"/>
      <c r="S58" s="20" t="inlineStr">
        <is>
          <t>Pendiente</t>
        </is>
      </c>
    </row>
    <row r="59" ht="36" customHeight="1">
      <c r="A59" s="21" t="inlineStr">
        <is>
          <t>NX-055</t>
        </is>
      </c>
      <c r="B59" s="17" t="inlineStr">
        <is>
          <t>MILENIUM.COM</t>
        </is>
      </c>
      <c r="C59" s="20" t="inlineStr">
        <is>
          <t>Hoteles y hospedajes</t>
        </is>
      </c>
      <c r="D59" s="17" t="inlineStr">
        <is>
          <t>Hotel / hospedaje</t>
        </is>
      </c>
      <c r="E59" s="17" t="inlineStr">
        <is>
          <t>mileniumlasexta@gmail.com</t>
        </is>
      </c>
      <c r="F59" s="17" t="inlineStr">
        <is>
          <t>3127551969</t>
        </is>
      </c>
      <c r="G59" s="17" t="inlineStr">
        <is>
          <t>K 6 13 63</t>
        </is>
      </c>
      <c r="H59" s="45" t="n">
        <v>46314</v>
      </c>
      <c r="I59" s="17" t="inlineStr">
        <is>
          <t>Sin señal de actualización específica en el registro fuente; verificar vigencia.</t>
        </is>
      </c>
      <c r="J59" s="17" t="inlineStr">
        <is>
          <t>https://www.datos.gov.co/w/m463-yj48/dneh-mcp2</t>
        </is>
      </c>
      <c r="K59" s="17" t="inlineStr">
        <is>
          <t>Registro del directorio público de hoteles; confirmar vigencia y datos antes de contactar. Dirección conservada en el formato abreviado de la fuente. | Fuente: Prospectos_NeXo_La_Dorada.xlsx</t>
        </is>
      </c>
      <c r="L59" s="19">
        <f>IF($B59="","",SUBSTITUTE(INDEX(Plantillas!$B$6:$B$15,MATCH($C59,Plantillas!$A$6:$A$15,0)),"{NEGOCIO}",$B59))</f>
        <v/>
      </c>
      <c r="M59" s="18">
        <f>IF($B59="","",SUBSTITUTE(INDEX(Plantillas!$C$6:$C$15,MATCH($C59,Plantillas!$A$6:$A$15,0)),"{NEGOCIO}",$B59))</f>
        <v/>
      </c>
      <c r="N59" s="20" t="inlineStr">
        <is>
          <t>Pendiente de verificar</t>
        </is>
      </c>
      <c r="O59" s="20" t="inlineStr">
        <is>
          <t>Pendiente de revisar</t>
        </is>
      </c>
      <c r="P59" s="20" t="inlineStr">
        <is>
          <t>Pendiente de revisión</t>
        </is>
      </c>
      <c r="Q59" s="46" t="n"/>
      <c r="R59" s="20" t="n"/>
      <c r="S59" s="20" t="inlineStr">
        <is>
          <t>Pendiente</t>
        </is>
      </c>
    </row>
    <row r="60" ht="36" customHeight="1">
      <c r="A60" s="21" t="inlineStr">
        <is>
          <t>NX-056</t>
        </is>
      </c>
      <c r="B60" s="17" t="inlineStr">
        <is>
          <t>EL TESORO</t>
        </is>
      </c>
      <c r="C60" s="20" t="inlineStr">
        <is>
          <t>Hoteles y hospedajes</t>
        </is>
      </c>
      <c r="D60" s="17" t="inlineStr">
        <is>
          <t>Hotel / hospedaje</t>
        </is>
      </c>
      <c r="E60" s="17" t="inlineStr">
        <is>
          <t>hotelcomercial2@hotmail.com</t>
        </is>
      </c>
      <c r="F60" s="17" t="inlineStr">
        <is>
          <t>3107395141</t>
        </is>
      </c>
      <c r="G60" s="17" t="inlineStr">
        <is>
          <t>K 4 14 53</t>
        </is>
      </c>
      <c r="H60" s="45" t="n">
        <v>46314</v>
      </c>
      <c r="I60" s="17" t="inlineStr">
        <is>
          <t>Sin señal de actualización específica en el registro fuente; verificar vigencia.</t>
        </is>
      </c>
      <c r="J60" s="17" t="inlineStr">
        <is>
          <t>https://www.datos.gov.co/w/m463-yj48/dneh-mcp2</t>
        </is>
      </c>
      <c r="K60" s="17" t="inlineStr">
        <is>
          <t>Registro del directorio público de hoteles; confirmar vigencia y datos antes de contactar. Dirección conservada en el formato abreviado de la fuente. | Fuente: Prospectos_NeXo_La_Dorada.xlsx</t>
        </is>
      </c>
      <c r="L60" s="19">
        <f>IF($B60="","",SUBSTITUTE(INDEX(Plantillas!$B$6:$B$15,MATCH($C60,Plantillas!$A$6:$A$15,0)),"{NEGOCIO}",$B60))</f>
        <v/>
      </c>
      <c r="M60" s="18">
        <f>IF($B60="","",SUBSTITUTE(INDEX(Plantillas!$C$6:$C$15,MATCH($C60,Plantillas!$A$6:$A$15,0)),"{NEGOCIO}",$B60))</f>
        <v/>
      </c>
      <c r="N60" s="20" t="inlineStr">
        <is>
          <t>Pendiente de verificar</t>
        </is>
      </c>
      <c r="O60" s="20" t="inlineStr">
        <is>
          <t>Pendiente de revisar</t>
        </is>
      </c>
      <c r="P60" s="20" t="inlineStr">
        <is>
          <t>Pendiente de revisión</t>
        </is>
      </c>
      <c r="Q60" s="46" t="n"/>
      <c r="R60" s="20" t="n"/>
      <c r="S60" s="20" t="inlineStr">
        <is>
          <t>Pendiente</t>
        </is>
      </c>
    </row>
    <row r="61" ht="36" customHeight="1">
      <c r="A61" s="21" t="inlineStr">
        <is>
          <t>NX-057</t>
        </is>
      </c>
      <c r="B61" s="17" t="inlineStr">
        <is>
          <t>DONALD II</t>
        </is>
      </c>
      <c r="C61" s="20" t="inlineStr">
        <is>
          <t>Hoteles y hospedajes</t>
        </is>
      </c>
      <c r="D61" s="17" t="inlineStr">
        <is>
          <t>Hotel / hospedaje</t>
        </is>
      </c>
      <c r="E61" s="17" t="inlineStr">
        <is>
          <t>floralbabarraganferro@hotmail.com</t>
        </is>
      </c>
      <c r="F61" s="17" t="inlineStr">
        <is>
          <t>3105036766</t>
        </is>
      </c>
      <c r="G61" s="17" t="inlineStr">
        <is>
          <t>C 13 5 13</t>
        </is>
      </c>
      <c r="H61" s="45" t="n">
        <v>46314</v>
      </c>
      <c r="I61" s="17" t="inlineStr">
        <is>
          <t>Sin señal de actualización específica en el registro fuente; verificar vigencia.</t>
        </is>
      </c>
      <c r="J61" s="17" t="inlineStr">
        <is>
          <t>https://www.datos.gov.co/w/m463-yj48/dneh-mcp2</t>
        </is>
      </c>
      <c r="K61" s="17" t="inlineStr">
        <is>
          <t>Registro del directorio público de hoteles; confirmar vigencia y datos antes de contactar. Dirección conservada en el formato abreviado de la fuente. Comparten correo y teléfono en el directorio; confirmar si tienen administración común. | Fuente: Prospectos_NeXo_La_Dorada.xlsx</t>
        </is>
      </c>
      <c r="L61" s="19">
        <f>IF($B61="","",SUBSTITUTE(INDEX(Plantillas!$B$6:$B$15,MATCH($C61,Plantillas!$A$6:$A$15,0)),"{NEGOCIO}",$B61))</f>
        <v/>
      </c>
      <c r="M61" s="18">
        <f>IF($B61="","",SUBSTITUTE(INDEX(Plantillas!$C$6:$C$15,MATCH($C61,Plantillas!$A$6:$A$15,0)),"{NEGOCIO}",$B61))</f>
        <v/>
      </c>
      <c r="N61" s="20" t="inlineStr">
        <is>
          <t>Pendiente de verificar</t>
        </is>
      </c>
      <c r="O61" s="20" t="inlineStr">
        <is>
          <t>Pendiente de revisar</t>
        </is>
      </c>
      <c r="P61" s="20" t="inlineStr">
        <is>
          <t>Pendiente de revisión</t>
        </is>
      </c>
      <c r="Q61" s="46" t="n"/>
      <c r="R61" s="20" t="n"/>
      <c r="S61" s="20" t="inlineStr">
        <is>
          <t>Pendiente</t>
        </is>
      </c>
    </row>
    <row r="62" ht="36" customHeight="1">
      <c r="A62" s="21" t="inlineStr">
        <is>
          <t>NX-058</t>
        </is>
      </c>
      <c r="B62" s="17" t="inlineStr">
        <is>
          <t>DONALD</t>
        </is>
      </c>
      <c r="C62" s="20" t="inlineStr">
        <is>
          <t>Hoteles y hospedajes</t>
        </is>
      </c>
      <c r="D62" s="17" t="inlineStr">
        <is>
          <t>Hotel / hospedaje</t>
        </is>
      </c>
      <c r="E62" s="17" t="inlineStr">
        <is>
          <t>floralbabarraganferro@hotmail.com</t>
        </is>
      </c>
      <c r="F62" s="17" t="inlineStr">
        <is>
          <t>3105036766</t>
        </is>
      </c>
      <c r="G62" s="17" t="inlineStr">
        <is>
          <t>C 12 5 10</t>
        </is>
      </c>
      <c r="H62" s="45" t="n">
        <v>46314</v>
      </c>
      <c r="I62" s="17" t="inlineStr">
        <is>
          <t>Sin señal de actualización específica en el registro fuente; verificar vigencia.</t>
        </is>
      </c>
      <c r="J62" s="17" t="inlineStr">
        <is>
          <t>https://www.datos.gov.co/w/m463-yj48/dneh-mcp2</t>
        </is>
      </c>
      <c r="K62" s="17" t="inlineStr">
        <is>
          <t>Registro del directorio público de hoteles; confirmar vigencia y datos antes de contactar. Dirección conservada en el formato abreviado de la fuente. Comparten correo y teléfono en el directorio; confirmar si tienen administración común. | Fuente: Prospectos_NeXo_La_Dorada.xlsx</t>
        </is>
      </c>
      <c r="L62" s="19">
        <f>IF($B62="","",SUBSTITUTE(INDEX(Plantillas!$B$6:$B$15,MATCH($C62,Plantillas!$A$6:$A$15,0)),"{NEGOCIO}",$B62))</f>
        <v/>
      </c>
      <c r="M62" s="18">
        <f>IF($B62="","",SUBSTITUTE(INDEX(Plantillas!$C$6:$C$15,MATCH($C62,Plantillas!$A$6:$A$15,0)),"{NEGOCIO}",$B62))</f>
        <v/>
      </c>
      <c r="N62" s="20" t="inlineStr">
        <is>
          <t>Pendiente de verificar</t>
        </is>
      </c>
      <c r="O62" s="20" t="inlineStr">
        <is>
          <t>Pendiente de revisar</t>
        </is>
      </c>
      <c r="P62" s="20" t="inlineStr">
        <is>
          <t>Pendiente de revisión</t>
        </is>
      </c>
      <c r="Q62" s="46" t="n"/>
      <c r="R62" s="20" t="n"/>
      <c r="S62" s="20" t="inlineStr">
        <is>
          <t>Pendiente</t>
        </is>
      </c>
    </row>
    <row r="63" ht="36" customHeight="1">
      <c r="A63" s="21" t="inlineStr">
        <is>
          <t>NX-059</t>
        </is>
      </c>
      <c r="B63" s="17" t="inlineStr">
        <is>
          <t>LOS ANGELES</t>
        </is>
      </c>
      <c r="C63" s="20" t="inlineStr">
        <is>
          <t>Hoteles y hospedajes</t>
        </is>
      </c>
      <c r="D63" s="17" t="inlineStr">
        <is>
          <t>Hotel / hospedaje</t>
        </is>
      </c>
      <c r="E63" s="17" t="inlineStr">
        <is>
          <t>colsafradorada@gmail.com</t>
        </is>
      </c>
      <c r="F63" s="17" t="inlineStr">
        <is>
          <t>3147546531</t>
        </is>
      </c>
      <c r="G63" s="17" t="inlineStr">
        <is>
          <t>C 17 6 59</t>
        </is>
      </c>
      <c r="H63" s="45" t="n">
        <v>46314</v>
      </c>
      <c r="I63" s="17" t="inlineStr">
        <is>
          <t>Sin señal de actualización específica en el registro fuente; verificar vigencia.</t>
        </is>
      </c>
      <c r="J63" s="17" t="inlineStr">
        <is>
          <t>https://www.datos.gov.co/w/m463-yj48/dneh-mcp2</t>
        </is>
      </c>
      <c r="K63" s="17" t="inlineStr">
        <is>
          <t>Registro del directorio público de hoteles; confirmar vigencia y datos antes de contactar. Dirección conservada en el formato abreviado de la fuente. | Fuente: Prospectos_NeXo_La_Dorada.xlsx</t>
        </is>
      </c>
      <c r="L63" s="19">
        <f>IF($B63="","",SUBSTITUTE(INDEX(Plantillas!$B$6:$B$15,MATCH($C63,Plantillas!$A$6:$A$15,0)),"{NEGOCIO}",$B63))</f>
        <v/>
      </c>
      <c r="M63" s="18">
        <f>IF($B63="","",SUBSTITUTE(INDEX(Plantillas!$C$6:$C$15,MATCH($C63,Plantillas!$A$6:$A$15,0)),"{NEGOCIO}",$B63))</f>
        <v/>
      </c>
      <c r="N63" s="20" t="inlineStr">
        <is>
          <t>Pendiente de verificar</t>
        </is>
      </c>
      <c r="O63" s="20" t="inlineStr">
        <is>
          <t>Pendiente de revisar</t>
        </is>
      </c>
      <c r="P63" s="20" t="inlineStr">
        <is>
          <t>Pendiente de revisión</t>
        </is>
      </c>
      <c r="Q63" s="46" t="n"/>
      <c r="R63" s="20" t="n"/>
      <c r="S63" s="20" t="inlineStr">
        <is>
          <t>Pendiente</t>
        </is>
      </c>
    </row>
    <row r="64" ht="36" customHeight="1">
      <c r="A64" s="21" t="inlineStr">
        <is>
          <t>NX-060</t>
        </is>
      </c>
      <c r="B64" s="17" t="inlineStr">
        <is>
          <t>ESTRELLA</t>
        </is>
      </c>
      <c r="C64" s="20" t="inlineStr">
        <is>
          <t>Hoteles y hospedajes</t>
        </is>
      </c>
      <c r="D64" s="17" t="inlineStr">
        <is>
          <t>Hotel / hospedaje</t>
        </is>
      </c>
      <c r="E64" s="17" t="inlineStr">
        <is>
          <t>wilmarpks@hotmail.com</t>
        </is>
      </c>
      <c r="F64" s="17" t="inlineStr">
        <is>
          <t>3146870504</t>
        </is>
      </c>
      <c r="G64" s="17" t="inlineStr">
        <is>
          <t>K 6 13 66</t>
        </is>
      </c>
      <c r="H64" s="45" t="n">
        <v>46314</v>
      </c>
      <c r="I64" s="17" t="inlineStr">
        <is>
          <t>Sin señal de actualización específica en el registro fuente; verificar vigencia.</t>
        </is>
      </c>
      <c r="J64" s="17" t="inlineStr">
        <is>
          <t>https://www.datos.gov.co/w/m463-yj48/dneh-mcp2</t>
        </is>
      </c>
      <c r="K64" s="17" t="inlineStr">
        <is>
          <t>Registro del directorio público de hoteles; confirmar vigencia y datos antes de contactar. Dirección conservada en el formato abreviado de la fuente. Teléfono compartido entre ambas fichas del directorio. | Fuente: Prospectos_NeXo_La_Dorada.xlsx</t>
        </is>
      </c>
      <c r="L64" s="19">
        <f>IF($B64="","",SUBSTITUTE(INDEX(Plantillas!$B$6:$B$15,MATCH($C64,Plantillas!$A$6:$A$15,0)),"{NEGOCIO}",$B64))</f>
        <v/>
      </c>
      <c r="M64" s="18">
        <f>IF($B64="","",SUBSTITUTE(INDEX(Plantillas!$C$6:$C$15,MATCH($C64,Plantillas!$A$6:$A$15,0)),"{NEGOCIO}",$B64))</f>
        <v/>
      </c>
      <c r="N64" s="20" t="inlineStr">
        <is>
          <t>Pendiente de verificar</t>
        </is>
      </c>
      <c r="O64" s="20" t="inlineStr">
        <is>
          <t>Pendiente de revisar</t>
        </is>
      </c>
      <c r="P64" s="20" t="inlineStr">
        <is>
          <t>Pendiente de revisión</t>
        </is>
      </c>
      <c r="Q64" s="46" t="n"/>
      <c r="R64" s="20" t="n"/>
      <c r="S64" s="20" t="inlineStr">
        <is>
          <t>Pendiente</t>
        </is>
      </c>
    </row>
    <row r="65" ht="36" customHeight="1">
      <c r="A65" s="21" t="inlineStr">
        <is>
          <t>NX-061</t>
        </is>
      </c>
      <c r="B65" s="17" t="inlineStr">
        <is>
          <t>ESTEBAN</t>
        </is>
      </c>
      <c r="C65" s="20" t="inlineStr">
        <is>
          <t>Hoteles y hospedajes</t>
        </is>
      </c>
      <c r="D65" s="17" t="inlineStr">
        <is>
          <t>Hotel / hospedaje</t>
        </is>
      </c>
      <c r="E65" s="17" t="inlineStr">
        <is>
          <t>cristian8802@hotmail.com</t>
        </is>
      </c>
      <c r="F65" s="17" t="inlineStr">
        <is>
          <t>3128191811</t>
        </is>
      </c>
      <c r="G65" s="17" t="inlineStr">
        <is>
          <t>C 13 5 47</t>
        </is>
      </c>
      <c r="H65" s="45" t="n">
        <v>46314</v>
      </c>
      <c r="I65" s="17" t="inlineStr">
        <is>
          <t>Sin señal de actualización específica en el registro fuente; verificar vigencia.</t>
        </is>
      </c>
      <c r="J65" s="17" t="inlineStr">
        <is>
          <t>https://www.datos.gov.co/w/m463-yj48/dneh-mcp2</t>
        </is>
      </c>
      <c r="K65" s="17" t="inlineStr">
        <is>
          <t>Registro del directorio público de hoteles; confirmar vigencia y datos antes de contactar. Dirección conservada en el formato abreviado de la fuente. | Fuente: Prospectos_NeXo_La_Dorada.xlsx</t>
        </is>
      </c>
      <c r="L65" s="19">
        <f>IF($B65="","",SUBSTITUTE(INDEX(Plantillas!$B$6:$B$15,MATCH($C65,Plantillas!$A$6:$A$15,0)),"{NEGOCIO}",$B65))</f>
        <v/>
      </c>
      <c r="M65" s="18">
        <f>IF($B65="","",SUBSTITUTE(INDEX(Plantillas!$C$6:$C$15,MATCH($C65,Plantillas!$A$6:$A$15,0)),"{NEGOCIO}",$B65))</f>
        <v/>
      </c>
      <c r="N65" s="20" t="inlineStr">
        <is>
          <t>Pendiente de verificar</t>
        </is>
      </c>
      <c r="O65" s="20" t="inlineStr">
        <is>
          <t>Pendiente de revisar</t>
        </is>
      </c>
      <c r="P65" s="20" t="inlineStr">
        <is>
          <t>Pendiente de revisión</t>
        </is>
      </c>
      <c r="Q65" s="46" t="n"/>
      <c r="R65" s="20" t="n"/>
      <c r="S65" s="20" t="inlineStr">
        <is>
          <t>Pendiente</t>
        </is>
      </c>
    </row>
    <row r="66" ht="36" customHeight="1">
      <c r="A66" s="21" t="inlineStr">
        <is>
          <t>NX-062</t>
        </is>
      </c>
      <c r="B66" s="17" t="inlineStr">
        <is>
          <t>EL CORTIJO</t>
        </is>
      </c>
      <c r="C66" s="20" t="inlineStr">
        <is>
          <t>Hoteles y hospedajes</t>
        </is>
      </c>
      <c r="D66" s="17" t="inlineStr">
        <is>
          <t>Hotel / hospedaje</t>
        </is>
      </c>
      <c r="E66" s="17" t="inlineStr">
        <is>
          <t>reservas@hotelesbolivarplaza.com</t>
        </is>
      </c>
      <c r="F66" s="17" t="inlineStr">
        <is>
          <t>3218019688</t>
        </is>
      </c>
      <c r="G66" s="17" t="inlineStr">
        <is>
          <t>KM 1 VÍA HONDA</t>
        </is>
      </c>
      <c r="H66" s="45" t="n">
        <v>46314</v>
      </c>
      <c r="I66" s="17" t="inlineStr">
        <is>
          <t>Sin señal de actualización específica en el registro fuente; verificar vigencia.</t>
        </is>
      </c>
      <c r="J66" s="17" t="inlineStr">
        <is>
          <t>https://www.datos.gov.co/w/m463-yj48/dneh-mcp2</t>
        </is>
      </c>
      <c r="K66" s="17" t="inlineStr">
        <is>
          <t>Registro del directorio público de hoteles; confirmar vigencia y datos antes de contactar. Dirección conservada en el formato abreviado de la fuente. Correo compartido con Hotel Bolívar Plaza; confirmar si es contacto centralizado. | Fuente: Prospectos_NeXo_La_Dorada.xlsx</t>
        </is>
      </c>
      <c r="L66" s="19">
        <f>IF($B66="","",SUBSTITUTE(INDEX(Plantillas!$B$6:$B$15,MATCH($C66,Plantillas!$A$6:$A$15,0)),"{NEGOCIO}",$B66))</f>
        <v/>
      </c>
      <c r="M66" s="18">
        <f>IF($B66="","",SUBSTITUTE(INDEX(Plantillas!$C$6:$C$15,MATCH($C66,Plantillas!$A$6:$A$15,0)),"{NEGOCIO}",$B66))</f>
        <v/>
      </c>
      <c r="N66" s="20" t="inlineStr">
        <is>
          <t>Pendiente de verificar</t>
        </is>
      </c>
      <c r="O66" s="20" t="inlineStr">
        <is>
          <t>Pendiente de revisar</t>
        </is>
      </c>
      <c r="P66" s="20" t="inlineStr">
        <is>
          <t>Pendiente de revisión</t>
        </is>
      </c>
      <c r="Q66" s="46" t="n"/>
      <c r="R66" s="20" t="n"/>
      <c r="S66" s="20" t="inlineStr">
        <is>
          <t>Pendiente</t>
        </is>
      </c>
    </row>
    <row r="67" ht="36" customHeight="1">
      <c r="A67" s="21" t="inlineStr">
        <is>
          <t>NX-063</t>
        </is>
      </c>
      <c r="B67" s="17" t="inlineStr">
        <is>
          <t>OCALA</t>
        </is>
      </c>
      <c r="C67" s="20" t="inlineStr">
        <is>
          <t>Hoteles y hospedajes</t>
        </is>
      </c>
      <c r="D67" s="17" t="inlineStr">
        <is>
          <t>Hotel / hospedaje</t>
        </is>
      </c>
      <c r="E67" s="17" t="inlineStr">
        <is>
          <t>juanrueda55@hotmail.com</t>
        </is>
      </c>
      <c r="F67" s="17" t="inlineStr">
        <is>
          <t>3117193149</t>
        </is>
      </c>
      <c r="G67" s="17" t="inlineStr">
        <is>
          <t>PURNIO</t>
        </is>
      </c>
      <c r="H67" s="45" t="n">
        <v>46314</v>
      </c>
      <c r="I67" s="17" t="inlineStr">
        <is>
          <t>Sin señal de actualización específica en el registro fuente; verificar vigencia.</t>
        </is>
      </c>
      <c r="J67" s="17" t="inlineStr">
        <is>
          <t>https://www.datos.gov.co/w/m463-yj48/dneh-mcp2</t>
        </is>
      </c>
      <c r="K67" s="17" t="inlineStr">
        <is>
          <t>Registro del directorio público de hoteles; confirmar vigencia y datos antes de contactar. Dirección conservada en el formato abreviado de la fuente. | Fuente: Prospectos_NeXo_La_Dorada.xlsx</t>
        </is>
      </c>
      <c r="L67" s="19">
        <f>IF($B67="","",SUBSTITUTE(INDEX(Plantillas!$B$6:$B$15,MATCH($C67,Plantillas!$A$6:$A$15,0)),"{NEGOCIO}",$B67))</f>
        <v/>
      </c>
      <c r="M67" s="18">
        <f>IF($B67="","",SUBSTITUTE(INDEX(Plantillas!$C$6:$C$15,MATCH($C67,Plantillas!$A$6:$A$15,0)),"{NEGOCIO}",$B67))</f>
        <v/>
      </c>
      <c r="N67" s="20" t="inlineStr">
        <is>
          <t>Pendiente de verificar</t>
        </is>
      </c>
      <c r="O67" s="20" t="inlineStr">
        <is>
          <t>Pendiente de revisar</t>
        </is>
      </c>
      <c r="P67" s="20" t="inlineStr">
        <is>
          <t>Pendiente de revisión</t>
        </is>
      </c>
      <c r="Q67" s="46" t="n"/>
      <c r="R67" s="20" t="n"/>
      <c r="S67" s="20" t="inlineStr">
        <is>
          <t>Pendiente</t>
        </is>
      </c>
    </row>
    <row r="68" ht="36" customHeight="1">
      <c r="A68" s="21" t="inlineStr">
        <is>
          <t>NX-064</t>
        </is>
      </c>
      <c r="B68" s="17" t="inlineStr">
        <is>
          <t>TRANQUILANDIA</t>
        </is>
      </c>
      <c r="C68" s="20" t="inlineStr">
        <is>
          <t>Hoteles y hospedajes</t>
        </is>
      </c>
      <c r="D68" s="17" t="inlineStr">
        <is>
          <t>Hotel / hospedaje</t>
        </is>
      </c>
      <c r="E68" s="17" t="inlineStr">
        <is>
          <t>cicardenast@hotmail.com</t>
        </is>
      </c>
      <c r="F68" s="17" t="inlineStr">
        <is>
          <t>3016558398</t>
        </is>
      </c>
      <c r="G68" s="17" t="inlineStr">
        <is>
          <t>GUARINOCITO</t>
        </is>
      </c>
      <c r="H68" s="45" t="n">
        <v>46314</v>
      </c>
      <c r="I68" s="17" t="inlineStr">
        <is>
          <t>Sin señal de actualización específica en el registro fuente; verificar vigencia.</t>
        </is>
      </c>
      <c r="J68" s="17" t="inlineStr">
        <is>
          <t>https://www.datos.gov.co/w/m463-yj48/dneh-mcp2</t>
        </is>
      </c>
      <c r="K68" s="17" t="inlineStr">
        <is>
          <t>Registro del directorio público de hoteles; confirmar vigencia y datos antes de contactar. Dirección conservada en el formato abreviado de la fuente. | Fuente: Prospectos_NeXo_La_Dorada.xlsx</t>
        </is>
      </c>
      <c r="L68" s="19">
        <f>IF($B68="","",SUBSTITUTE(INDEX(Plantillas!$B$6:$B$15,MATCH($C68,Plantillas!$A$6:$A$15,0)),"{NEGOCIO}",$B68))</f>
        <v/>
      </c>
      <c r="M68" s="18">
        <f>IF($B68="","",SUBSTITUTE(INDEX(Plantillas!$C$6:$C$15,MATCH($C68,Plantillas!$A$6:$A$15,0)),"{NEGOCIO}",$B68))</f>
        <v/>
      </c>
      <c r="N68" s="20" t="inlineStr">
        <is>
          <t>Pendiente de verificar</t>
        </is>
      </c>
      <c r="O68" s="20" t="inlineStr">
        <is>
          <t>Pendiente de revisar</t>
        </is>
      </c>
      <c r="P68" s="20" t="inlineStr">
        <is>
          <t>Pendiente de revisión</t>
        </is>
      </c>
      <c r="Q68" s="46" t="n"/>
      <c r="R68" s="20" t="n"/>
      <c r="S68" s="20" t="inlineStr">
        <is>
          <t>Pendiente</t>
        </is>
      </c>
    </row>
    <row r="69" ht="36" customHeight="1">
      <c r="A69" s="21" t="inlineStr">
        <is>
          <t>NX-065</t>
        </is>
      </c>
      <c r="B69" s="17" t="inlineStr">
        <is>
          <t>CASA DORADA</t>
        </is>
      </c>
      <c r="C69" s="20" t="inlineStr">
        <is>
          <t>Hoteles y hospedajes</t>
        </is>
      </c>
      <c r="D69" s="17" t="inlineStr">
        <is>
          <t>Hotel / hospedaje</t>
        </is>
      </c>
      <c r="E69" s="17" t="inlineStr">
        <is>
          <t>alruiz2603@hotmail.com</t>
        </is>
      </c>
      <c r="F69" s="17" t="inlineStr">
        <is>
          <t>3158629642</t>
        </is>
      </c>
      <c r="G69" s="17" t="inlineStr">
        <is>
          <t>C 14 5 27</t>
        </is>
      </c>
      <c r="H69" s="45" t="n">
        <v>46314</v>
      </c>
      <c r="I69" s="17" t="inlineStr">
        <is>
          <t>Sin señal de actualización específica en el registro fuente; verificar vigencia.</t>
        </is>
      </c>
      <c r="J69" s="17" t="inlineStr">
        <is>
          <t>https://www.datos.gov.co/w/m463-yj48/dneh-mcp2</t>
        </is>
      </c>
      <c r="K69" s="17" t="inlineStr">
        <is>
          <t>Registro del directorio público de hoteles; confirmar vigencia y datos antes de contactar. Dirección conservada en el formato abreviado de la fuente. | Fuente: Prospectos_NeXo_La_Dorada.xlsx</t>
        </is>
      </c>
      <c r="L69" s="19">
        <f>IF($B69="","",SUBSTITUTE(INDEX(Plantillas!$B$6:$B$15,MATCH($C69,Plantillas!$A$6:$A$15,0)),"{NEGOCIO}",$B69))</f>
        <v/>
      </c>
      <c r="M69" s="18">
        <f>IF($B69="","",SUBSTITUTE(INDEX(Plantillas!$C$6:$C$15,MATCH($C69,Plantillas!$A$6:$A$15,0)),"{NEGOCIO}",$B69))</f>
        <v/>
      </c>
      <c r="N69" s="20" t="inlineStr">
        <is>
          <t>Pendiente de verificar</t>
        </is>
      </c>
      <c r="O69" s="20" t="inlineStr">
        <is>
          <t>Pendiente de revisar</t>
        </is>
      </c>
      <c r="P69" s="20" t="inlineStr">
        <is>
          <t>Pendiente de revisión</t>
        </is>
      </c>
      <c r="Q69" s="46" t="n"/>
      <c r="R69" s="20" t="n"/>
      <c r="S69" s="20" t="inlineStr">
        <is>
          <t>Pendiente</t>
        </is>
      </c>
    </row>
    <row r="70" ht="36" customHeight="1">
      <c r="A70" s="21" t="inlineStr">
        <is>
          <t>NX-066</t>
        </is>
      </c>
      <c r="B70" s="17" t="inlineStr">
        <is>
          <t>RESIDENCIAS MI TRIANGULO</t>
        </is>
      </c>
      <c r="C70" s="20" t="inlineStr">
        <is>
          <t>Hoteles y hospedajes</t>
        </is>
      </c>
      <c r="D70" s="17" t="inlineStr">
        <is>
          <t>Hotel / hospedaje</t>
        </is>
      </c>
      <c r="E70" s="17" t="inlineStr">
        <is>
          <t>estaciondeserviciotriangulo@gmail.com</t>
        </is>
      </c>
      <c r="F70" s="17" t="inlineStr">
        <is>
          <t>3124037289</t>
        </is>
      </c>
      <c r="G70" s="17" t="inlineStr">
        <is>
          <t>K 2 37 39</t>
        </is>
      </c>
      <c r="H70" s="45" t="n">
        <v>46314</v>
      </c>
      <c r="I70" s="17" t="inlineStr">
        <is>
          <t>Sin señal de actualización específica en el registro fuente; verificar vigencia.</t>
        </is>
      </c>
      <c r="J70" s="17" t="inlineStr">
        <is>
          <t>https://www.datos.gov.co/w/m463-yj48/dneh-mcp2</t>
        </is>
      </c>
      <c r="K70" s="17" t="inlineStr">
        <is>
          <t>Registro del directorio público de hoteles; confirmar vigencia y datos antes de contactar. Dirección conservada en el formato abreviado de la fuente. | Fuente: Prospectos_NeXo_La_Dorada.xlsx</t>
        </is>
      </c>
      <c r="L70" s="19">
        <f>IF($B70="","",SUBSTITUTE(INDEX(Plantillas!$B$6:$B$15,MATCH($C70,Plantillas!$A$6:$A$15,0)),"{NEGOCIO}",$B70))</f>
        <v/>
      </c>
      <c r="M70" s="18">
        <f>IF($B70="","",SUBSTITUTE(INDEX(Plantillas!$C$6:$C$15,MATCH($C70,Plantillas!$A$6:$A$15,0)),"{NEGOCIO}",$B70))</f>
        <v/>
      </c>
      <c r="N70" s="20" t="inlineStr">
        <is>
          <t>Pendiente de verificar</t>
        </is>
      </c>
      <c r="O70" s="20" t="inlineStr">
        <is>
          <t>Pendiente de revisar</t>
        </is>
      </c>
      <c r="P70" s="20" t="inlineStr">
        <is>
          <t>Pendiente de revisión</t>
        </is>
      </c>
      <c r="Q70" s="46" t="n"/>
      <c r="R70" s="20" t="n"/>
      <c r="S70" s="20" t="inlineStr">
        <is>
          <t>Pendiente</t>
        </is>
      </c>
    </row>
    <row r="71" ht="36" customHeight="1">
      <c r="A71" s="21" t="inlineStr">
        <is>
          <t>NX-067</t>
        </is>
      </c>
      <c r="B71" s="17" t="inlineStr">
        <is>
          <t>QUINTA CAMPESTRE VILLA CLAUDIA</t>
        </is>
      </c>
      <c r="C71" s="20" t="inlineStr">
        <is>
          <t>Hoteles y hospedajes</t>
        </is>
      </c>
      <c r="D71" s="17" t="inlineStr">
        <is>
          <t>Hotel / hospedaje</t>
        </is>
      </c>
      <c r="E71" s="17" t="inlineStr">
        <is>
          <t>grupoempresarialjrsas@gmail.com</t>
        </is>
      </c>
      <c r="F71" s="17" t="inlineStr">
        <is>
          <t>3127396363</t>
        </is>
      </c>
      <c r="G71" s="17" t="inlineStr">
        <is>
          <t>GUARINOCITO</t>
        </is>
      </c>
      <c r="H71" s="45" t="n">
        <v>46314</v>
      </c>
      <c r="I71" s="17" t="inlineStr">
        <is>
          <t>Sin señal de actualización específica en el registro fuente; verificar vigencia.</t>
        </is>
      </c>
      <c r="J71" s="17" t="inlineStr">
        <is>
          <t>https://www.datos.gov.co/w/m463-yj48/dneh-mcp2</t>
        </is>
      </c>
      <c r="K71" s="17" t="inlineStr">
        <is>
          <t>Registro del directorio público de hoteles; confirmar vigencia y datos antes de contactar. Dirección conservada en el formato abreviado de la fuente. | Fuente: Prospectos_NeXo_La_Dorada.xlsx</t>
        </is>
      </c>
      <c r="L71" s="19">
        <f>IF($B71="","",SUBSTITUTE(INDEX(Plantillas!$B$6:$B$15,MATCH($C71,Plantillas!$A$6:$A$15,0)),"{NEGOCIO}",$B71))</f>
        <v/>
      </c>
      <c r="M71" s="18">
        <f>IF($B71="","",SUBSTITUTE(INDEX(Plantillas!$C$6:$C$15,MATCH($C71,Plantillas!$A$6:$A$15,0)),"{NEGOCIO}",$B71))</f>
        <v/>
      </c>
      <c r="N71" s="20" t="inlineStr">
        <is>
          <t>Pendiente de verificar</t>
        </is>
      </c>
      <c r="O71" s="20" t="inlineStr">
        <is>
          <t>Pendiente de revisar</t>
        </is>
      </c>
      <c r="P71" s="20" t="inlineStr">
        <is>
          <t>Pendiente de revisión</t>
        </is>
      </c>
      <c r="Q71" s="46" t="n"/>
      <c r="R71" s="20" t="n"/>
      <c r="S71" s="20" t="inlineStr">
        <is>
          <t>Pendiente</t>
        </is>
      </c>
    </row>
    <row r="72" ht="36" customHeight="1">
      <c r="A72" s="21" t="inlineStr">
        <is>
          <t>NX-068</t>
        </is>
      </c>
      <c r="B72" s="17" t="inlineStr">
        <is>
          <t>HOSPEDAJE DOÑA LUZ MILA</t>
        </is>
      </c>
      <c r="C72" s="20" t="inlineStr">
        <is>
          <t>Hoteles y hospedajes</t>
        </is>
      </c>
      <c r="D72" s="17" t="inlineStr">
        <is>
          <t>Hotel / hospedaje</t>
        </is>
      </c>
      <c r="E72" s="17" t="inlineStr">
        <is>
          <t>clausanalejo326@hotmail.com</t>
        </is>
      </c>
      <c r="F72" s="17" t="inlineStr">
        <is>
          <t>3136283962</t>
        </is>
      </c>
      <c r="G72" s="17" t="inlineStr">
        <is>
          <t>C 11 13 34</t>
        </is>
      </c>
      <c r="H72" s="45" t="n">
        <v>46314</v>
      </c>
      <c r="I72" s="17" t="inlineStr">
        <is>
          <t>Sin señal de actualización específica en el registro fuente; verificar vigencia.</t>
        </is>
      </c>
      <c r="J72" s="17" t="inlineStr">
        <is>
          <t>https://www.datos.gov.co/w/m463-yj48/dneh-mcp2</t>
        </is>
      </c>
      <c r="K72" s="17" t="inlineStr">
        <is>
          <t>Registro del directorio público de hoteles; confirmar vigencia y datos antes de contactar. Dirección conservada en el formato abreviado de la fuente. | Fuente: Prospectos_NeXo_La_Dorada.xlsx</t>
        </is>
      </c>
      <c r="L72" s="19">
        <f>IF($B72="","",SUBSTITUTE(INDEX(Plantillas!$B$6:$B$15,MATCH($C72,Plantillas!$A$6:$A$15,0)),"{NEGOCIO}",$B72))</f>
        <v/>
      </c>
      <c r="M72" s="18">
        <f>IF($B72="","",SUBSTITUTE(INDEX(Plantillas!$C$6:$C$15,MATCH($C72,Plantillas!$A$6:$A$15,0)),"{NEGOCIO}",$B72))</f>
        <v/>
      </c>
      <c r="N72" s="20" t="inlineStr">
        <is>
          <t>Pendiente de verificar</t>
        </is>
      </c>
      <c r="O72" s="20" t="inlineStr">
        <is>
          <t>Pendiente de revisar</t>
        </is>
      </c>
      <c r="P72" s="20" t="inlineStr">
        <is>
          <t>Pendiente de revisión</t>
        </is>
      </c>
      <c r="Q72" s="46" t="n"/>
      <c r="R72" s="20" t="n"/>
      <c r="S72" s="20" t="inlineStr">
        <is>
          <t>Pendiente</t>
        </is>
      </c>
    </row>
    <row r="73" ht="36" customHeight="1">
      <c r="A73" s="21" t="inlineStr">
        <is>
          <t>NX-069</t>
        </is>
      </c>
      <c r="B73" s="17" t="inlineStr">
        <is>
          <t>RESIDENCIAS LAS MALVINAS</t>
        </is>
      </c>
      <c r="C73" s="20" t="inlineStr">
        <is>
          <t>Hoteles y hospedajes</t>
        </is>
      </c>
      <c r="D73" s="17" t="inlineStr">
        <is>
          <t>Hotel / hospedaje</t>
        </is>
      </c>
      <c r="E73" s="17" t="n"/>
      <c r="F73" s="17" t="inlineStr">
        <is>
          <t>3113013104</t>
        </is>
      </c>
      <c r="G73" s="17" t="inlineStr">
        <is>
          <t>C 19 3 30</t>
        </is>
      </c>
      <c r="H73" s="45" t="n">
        <v>46314</v>
      </c>
      <c r="I73" s="17" t="inlineStr">
        <is>
          <t>Sin señal de actualización específica en el registro fuente; verificar vigencia.</t>
        </is>
      </c>
      <c r="J73" s="17" t="inlineStr">
        <is>
          <t>https://www.datos.gov.co/w/m463-yj48/dneh-mcp2</t>
        </is>
      </c>
      <c r="K73" s="17" t="inlineStr">
        <is>
          <t>Registro del directorio público de hoteles; confirmar vigencia y datos antes de contactar. Dirección conservada en el formato abreviado de la fuente. | Fuente: Prospectos_NeXo_La_Dorada.xlsx</t>
        </is>
      </c>
      <c r="L73" s="19">
        <f>IF($B73="","",SUBSTITUTE(INDEX(Plantillas!$B$6:$B$15,MATCH($C73,Plantillas!$A$6:$A$15,0)),"{NEGOCIO}",$B73))</f>
        <v/>
      </c>
      <c r="M73" s="18">
        <f>IF($B73="","",SUBSTITUTE(INDEX(Plantillas!$C$6:$C$15,MATCH($C73,Plantillas!$A$6:$A$15,0)),"{NEGOCIO}",$B73))</f>
        <v/>
      </c>
      <c r="N73" s="20" t="inlineStr">
        <is>
          <t>Sin correo público</t>
        </is>
      </c>
      <c r="O73" s="20" t="inlineStr">
        <is>
          <t>Pendiente de revisar</t>
        </is>
      </c>
      <c r="P73" s="20" t="inlineStr">
        <is>
          <t>Pendiente de revisión</t>
        </is>
      </c>
      <c r="Q73" s="46" t="n"/>
      <c r="R73" s="20" t="n"/>
      <c r="S73" s="20" t="inlineStr">
        <is>
          <t>Pendiente</t>
        </is>
      </c>
    </row>
    <row r="74" ht="36" customHeight="1">
      <c r="A74" s="21" t="inlineStr">
        <is>
          <t>NX-070</t>
        </is>
      </c>
      <c r="B74" s="17" t="inlineStr">
        <is>
          <t>POSADA TURISTICA BUENAVISTA</t>
        </is>
      </c>
      <c r="C74" s="20" t="inlineStr">
        <is>
          <t>Hoteles y hospedajes</t>
        </is>
      </c>
      <c r="D74" s="17" t="inlineStr">
        <is>
          <t>Hotel / hospedaje</t>
        </is>
      </c>
      <c r="E74" s="17" t="inlineStr">
        <is>
          <t>apbbuenavista@gmail.com</t>
        </is>
      </c>
      <c r="F74" s="17" t="inlineStr">
        <is>
          <t>3164050918</t>
        </is>
      </c>
      <c r="G74" s="17" t="inlineStr">
        <is>
          <t>BUENAVISTA</t>
        </is>
      </c>
      <c r="H74" s="45" t="n">
        <v>46314</v>
      </c>
      <c r="I74" s="17" t="inlineStr">
        <is>
          <t>Sin señal de actualización específica en el registro fuente; verificar vigencia.</t>
        </is>
      </c>
      <c r="J74" s="17" t="inlineStr">
        <is>
          <t>https://www.datos.gov.co/w/m463-yj48/dneh-mcp2</t>
        </is>
      </c>
      <c r="K74" s="17" t="inlineStr">
        <is>
          <t>Registro del directorio público de hoteles; confirmar vigencia y datos antes de contactar. Dirección conservada en el formato abreviado de la fuente. | Fuente: Prospectos_NeXo_La_Dorada.xlsx</t>
        </is>
      </c>
      <c r="L74" s="19">
        <f>IF($B74="","",SUBSTITUTE(INDEX(Plantillas!$B$6:$B$15,MATCH($C74,Plantillas!$A$6:$A$15,0)),"{NEGOCIO}",$B74))</f>
        <v/>
      </c>
      <c r="M74" s="18">
        <f>IF($B74="","",SUBSTITUTE(INDEX(Plantillas!$C$6:$C$15,MATCH($C74,Plantillas!$A$6:$A$15,0)),"{NEGOCIO}",$B74))</f>
        <v/>
      </c>
      <c r="N74" s="20" t="inlineStr">
        <is>
          <t>Pendiente de verificar</t>
        </is>
      </c>
      <c r="O74" s="20" t="inlineStr">
        <is>
          <t>Pendiente de revisar</t>
        </is>
      </c>
      <c r="P74" s="20" t="inlineStr">
        <is>
          <t>Pendiente de revisión</t>
        </is>
      </c>
      <c r="Q74" s="46" t="n"/>
      <c r="R74" s="20" t="n"/>
      <c r="S74" s="20" t="inlineStr">
        <is>
          <t>Pendiente</t>
        </is>
      </c>
    </row>
    <row r="75" ht="36" customHeight="1">
      <c r="A75" s="21" t="inlineStr">
        <is>
          <t>NX-071</t>
        </is>
      </c>
      <c r="B75" s="17" t="inlineStr">
        <is>
          <t>CABAÑA DE GEORGE</t>
        </is>
      </c>
      <c r="C75" s="20" t="inlineStr">
        <is>
          <t>Hoteles y hospedajes</t>
        </is>
      </c>
      <c r="D75" s="17" t="inlineStr">
        <is>
          <t>Hotel / hospedaje</t>
        </is>
      </c>
      <c r="E75" s="17" t="n"/>
      <c r="F75" s="17" t="inlineStr">
        <is>
          <t>3146019734</t>
        </is>
      </c>
      <c r="G75" s="17" t="inlineStr">
        <is>
          <t>LA HABANA</t>
        </is>
      </c>
      <c r="H75" s="45" t="n">
        <v>46314</v>
      </c>
      <c r="I75" s="17" t="inlineStr">
        <is>
          <t>Sin señal de actualización específica en el registro fuente; verificar vigencia.</t>
        </is>
      </c>
      <c r="J75" s="17" t="inlineStr">
        <is>
          <t>https://www.datos.gov.co/w/m463-yj48/dneh-mcp2</t>
        </is>
      </c>
      <c r="K75" s="17" t="inlineStr">
        <is>
          <t>Registro del directorio público de hoteles; confirmar vigencia y datos antes de contactar. Dirección conservada en el formato abreviado de la fuente. | Fuente: Prospectos_NeXo_La_Dorada.xlsx</t>
        </is>
      </c>
      <c r="L75" s="19">
        <f>IF($B75="","",SUBSTITUTE(INDEX(Plantillas!$B$6:$B$15,MATCH($C75,Plantillas!$A$6:$A$15,0)),"{NEGOCIO}",$B75))</f>
        <v/>
      </c>
      <c r="M75" s="18">
        <f>IF($B75="","",SUBSTITUTE(INDEX(Plantillas!$C$6:$C$15,MATCH($C75,Plantillas!$A$6:$A$15,0)),"{NEGOCIO}",$B75))</f>
        <v/>
      </c>
      <c r="N75" s="20" t="inlineStr">
        <is>
          <t>Sin correo público</t>
        </is>
      </c>
      <c r="O75" s="20" t="inlineStr">
        <is>
          <t>Pendiente de revisar</t>
        </is>
      </c>
      <c r="P75" s="20" t="inlineStr">
        <is>
          <t>Pendiente de revisión</t>
        </is>
      </c>
      <c r="Q75" s="46" t="n"/>
      <c r="R75" s="20" t="n"/>
      <c r="S75" s="20" t="inlineStr">
        <is>
          <t>Pendiente</t>
        </is>
      </c>
    </row>
    <row r="76" ht="36" customHeight="1">
      <c r="A76" s="21" t="inlineStr">
        <is>
          <t>NX-072</t>
        </is>
      </c>
      <c r="B76" s="17" t="inlineStr">
        <is>
          <t>CABAÑA VILLA HERMOSA</t>
        </is>
      </c>
      <c r="C76" s="20" t="inlineStr">
        <is>
          <t>Hoteles y hospedajes</t>
        </is>
      </c>
      <c r="D76" s="17" t="inlineStr">
        <is>
          <t>Hotel / hospedaje</t>
        </is>
      </c>
      <c r="E76" s="17" t="n"/>
      <c r="F76" s="17" t="inlineStr">
        <is>
          <t>3206361169</t>
        </is>
      </c>
      <c r="G76" s="17" t="inlineStr">
        <is>
          <t>LA HABANA</t>
        </is>
      </c>
      <c r="H76" s="45" t="n">
        <v>46314</v>
      </c>
      <c r="I76" s="17" t="inlineStr">
        <is>
          <t>Sin señal de actualización específica en el registro fuente; verificar vigencia.</t>
        </is>
      </c>
      <c r="J76" s="17" t="inlineStr">
        <is>
          <t>https://www.datos.gov.co/w/m463-yj48/dneh-mcp2</t>
        </is>
      </c>
      <c r="K76" s="17" t="inlineStr">
        <is>
          <t>Registro del directorio público de hoteles; confirmar vigencia y datos antes de contactar. Dirección conservada en el formato abreviado de la fuente. | Fuente: Prospectos_NeXo_La_Dorada.xlsx</t>
        </is>
      </c>
      <c r="L76" s="19">
        <f>IF($B76="","",SUBSTITUTE(INDEX(Plantillas!$B$6:$B$15,MATCH($C76,Plantillas!$A$6:$A$15,0)),"{NEGOCIO}",$B76))</f>
        <v/>
      </c>
      <c r="M76" s="18">
        <f>IF($B76="","",SUBSTITUTE(INDEX(Plantillas!$C$6:$C$15,MATCH($C76,Plantillas!$A$6:$A$15,0)),"{NEGOCIO}",$B76))</f>
        <v/>
      </c>
      <c r="N76" s="20" t="inlineStr">
        <is>
          <t>Sin correo público</t>
        </is>
      </c>
      <c r="O76" s="20" t="inlineStr">
        <is>
          <t>Pendiente de revisar</t>
        </is>
      </c>
      <c r="P76" s="20" t="inlineStr">
        <is>
          <t>Pendiente de revisión</t>
        </is>
      </c>
      <c r="Q76" s="46" t="n"/>
      <c r="R76" s="20" t="n"/>
      <c r="S76" s="20" t="inlineStr">
        <is>
          <t>Pendiente</t>
        </is>
      </c>
    </row>
    <row r="77" ht="36" customHeight="1">
      <c r="A77" s="21" t="inlineStr">
        <is>
          <t>NX-073</t>
        </is>
      </c>
      <c r="B77" s="17" t="inlineStr">
        <is>
          <t>CABAÑA SOL Y MIEL</t>
        </is>
      </c>
      <c r="C77" s="20" t="inlineStr">
        <is>
          <t>Hoteles y hospedajes</t>
        </is>
      </c>
      <c r="D77" s="17" t="inlineStr">
        <is>
          <t>Hotel / hospedaje</t>
        </is>
      </c>
      <c r="E77" s="17" t="inlineStr">
        <is>
          <t>ov870904@gmail.com</t>
        </is>
      </c>
      <c r="F77" s="17" t="inlineStr">
        <is>
          <t>3108237675</t>
        </is>
      </c>
      <c r="G77" s="17" t="inlineStr">
        <is>
          <t>LA HABANA</t>
        </is>
      </c>
      <c r="H77" s="45" t="n">
        <v>46314</v>
      </c>
      <c r="I77" s="17" t="inlineStr">
        <is>
          <t>Sin señal de actualización específica en el registro fuente; verificar vigencia.</t>
        </is>
      </c>
      <c r="J77" s="17" t="inlineStr">
        <is>
          <t>https://www.datos.gov.co/w/m463-yj48/dneh-mcp2</t>
        </is>
      </c>
      <c r="K77" s="17" t="inlineStr">
        <is>
          <t>Registro del directorio público de hoteles; confirmar vigencia y datos antes de contactar. Dirección conservada en el formato abreviado de la fuente. | Fuente: Prospectos_NeXo_La_Dorada.xlsx</t>
        </is>
      </c>
      <c r="L77" s="19">
        <f>IF($B77="","",SUBSTITUTE(INDEX(Plantillas!$B$6:$B$15,MATCH($C77,Plantillas!$A$6:$A$15,0)),"{NEGOCIO}",$B77))</f>
        <v/>
      </c>
      <c r="M77" s="18">
        <f>IF($B77="","",SUBSTITUTE(INDEX(Plantillas!$C$6:$C$15,MATCH($C77,Plantillas!$A$6:$A$15,0)),"{NEGOCIO}",$B77))</f>
        <v/>
      </c>
      <c r="N77" s="20" t="inlineStr">
        <is>
          <t>Pendiente de verificar</t>
        </is>
      </c>
      <c r="O77" s="20" t="inlineStr">
        <is>
          <t>Pendiente de revisar</t>
        </is>
      </c>
      <c r="P77" s="20" t="inlineStr">
        <is>
          <t>Pendiente de revisión</t>
        </is>
      </c>
      <c r="Q77" s="46" t="n"/>
      <c r="R77" s="20" t="n"/>
      <c r="S77" s="20" t="inlineStr">
        <is>
          <t>Pendiente</t>
        </is>
      </c>
    </row>
    <row r="78" ht="36" customHeight="1">
      <c r="A78" s="21" t="inlineStr">
        <is>
          <t>NX-074</t>
        </is>
      </c>
      <c r="B78" s="17" t="inlineStr">
        <is>
          <t>HOTEL LA PARCELA</t>
        </is>
      </c>
      <c r="C78" s="20" t="inlineStr">
        <is>
          <t>Hoteles y hospedajes</t>
        </is>
      </c>
      <c r="D78" s="17" t="inlineStr">
        <is>
          <t>Hotel / hospedaje</t>
        </is>
      </c>
      <c r="E78" s="17" t="inlineStr">
        <is>
          <t>holamillo@gmail.com</t>
        </is>
      </c>
      <c r="F78" s="17" t="inlineStr">
        <is>
          <t>3148357836</t>
        </is>
      </c>
      <c r="G78" s="17" t="inlineStr">
        <is>
          <t>GUARINOCITO</t>
        </is>
      </c>
      <c r="H78" s="45" t="n">
        <v>46314</v>
      </c>
      <c r="I78" s="17" t="inlineStr">
        <is>
          <t>Sin señal de actualización específica en el registro fuente; verificar vigencia.</t>
        </is>
      </c>
      <c r="J78" s="17" t="inlineStr">
        <is>
          <t>https://www.datos.gov.co/w/m463-yj48/dneh-mcp2</t>
        </is>
      </c>
      <c r="K78" s="17" t="inlineStr">
        <is>
          <t>Registro del directorio público de hoteles; confirmar vigencia y datos antes de contactar. Dirección conservada en el formato abreviado de la fuente. | Fuente: Prospectos_NeXo_La_Dorada.xlsx</t>
        </is>
      </c>
      <c r="L78" s="19">
        <f>IF($B78="","",SUBSTITUTE(INDEX(Plantillas!$B$6:$B$15,MATCH($C78,Plantillas!$A$6:$A$15,0)),"{NEGOCIO}",$B78))</f>
        <v/>
      </c>
      <c r="M78" s="18">
        <f>IF($B78="","",SUBSTITUTE(INDEX(Plantillas!$C$6:$C$15,MATCH($C78,Plantillas!$A$6:$A$15,0)),"{NEGOCIO}",$B78))</f>
        <v/>
      </c>
      <c r="N78" s="20" t="inlineStr">
        <is>
          <t>Pendiente de verificar</t>
        </is>
      </c>
      <c r="O78" s="20" t="inlineStr">
        <is>
          <t>Pendiente de revisar</t>
        </is>
      </c>
      <c r="P78" s="20" t="inlineStr">
        <is>
          <t>Pendiente de revisión</t>
        </is>
      </c>
      <c r="Q78" s="46" t="n"/>
      <c r="R78" s="20" t="n"/>
      <c r="S78" s="20" t="inlineStr">
        <is>
          <t>Pendiente</t>
        </is>
      </c>
    </row>
    <row r="79" ht="36" customHeight="1">
      <c r="A79" s="21" t="inlineStr">
        <is>
          <t>NX-075</t>
        </is>
      </c>
      <c r="B79" s="17" t="inlineStr">
        <is>
          <t>RESIDENCIAS MONACO</t>
        </is>
      </c>
      <c r="C79" s="20" t="inlineStr">
        <is>
          <t>Hoteles y hospedajes</t>
        </is>
      </c>
      <c r="D79" s="17" t="inlineStr">
        <is>
          <t>Hotel / hospedaje</t>
        </is>
      </c>
      <c r="E79" s="17" t="n"/>
      <c r="F79" s="17" t="inlineStr">
        <is>
          <t>3148569021</t>
        </is>
      </c>
      <c r="G79" s="17" t="inlineStr">
        <is>
          <t>K 6 14 26</t>
        </is>
      </c>
      <c r="H79" s="45" t="n">
        <v>46314</v>
      </c>
      <c r="I79" s="17" t="inlineStr">
        <is>
          <t>Sin señal de actualización específica en el registro fuente; verificar vigencia.</t>
        </is>
      </c>
      <c r="J79" s="17" t="inlineStr">
        <is>
          <t>https://www.datos.gov.co/w/m463-yj48/dneh-mcp2</t>
        </is>
      </c>
      <c r="K79" s="17" t="inlineStr">
        <is>
          <t>Registro del directorio público de hoteles; confirmar vigencia y datos antes de contactar. Dirección conservada en el formato abreviado de la fuente. | Fuente: Prospectos_NeXo_La_Dorada.xlsx</t>
        </is>
      </c>
      <c r="L79" s="19">
        <f>IF($B79="","",SUBSTITUTE(INDEX(Plantillas!$B$6:$B$15,MATCH($C79,Plantillas!$A$6:$A$15,0)),"{NEGOCIO}",$B79))</f>
        <v/>
      </c>
      <c r="M79" s="18">
        <f>IF($B79="","",SUBSTITUTE(INDEX(Plantillas!$C$6:$C$15,MATCH($C79,Plantillas!$A$6:$A$15,0)),"{NEGOCIO}",$B79))</f>
        <v/>
      </c>
      <c r="N79" s="20" t="inlineStr">
        <is>
          <t>Sin correo público</t>
        </is>
      </c>
      <c r="O79" s="20" t="inlineStr">
        <is>
          <t>Pendiente de revisar</t>
        </is>
      </c>
      <c r="P79" s="20" t="inlineStr">
        <is>
          <t>Pendiente de revisión</t>
        </is>
      </c>
      <c r="Q79" s="46" t="n"/>
      <c r="R79" s="20" t="n"/>
      <c r="S79" s="20" t="inlineStr">
        <is>
          <t>Pendiente</t>
        </is>
      </c>
    </row>
    <row r="80" ht="36" customHeight="1">
      <c r="A80" s="21" t="inlineStr">
        <is>
          <t>NX-076</t>
        </is>
      </c>
      <c r="B80" s="17" t="inlineStr">
        <is>
          <t>RESIDENCIAS ROMA</t>
        </is>
      </c>
      <c r="C80" s="20" t="inlineStr">
        <is>
          <t>Hoteles y hospedajes</t>
        </is>
      </c>
      <c r="D80" s="17" t="inlineStr">
        <is>
          <t>Hotel / hospedaje</t>
        </is>
      </c>
      <c r="E80" s="17" t="n"/>
      <c r="F80" s="17" t="inlineStr">
        <is>
          <t>3218469765</t>
        </is>
      </c>
      <c r="G80" s="17" t="inlineStr">
        <is>
          <t>K 3 16 37</t>
        </is>
      </c>
      <c r="H80" s="45" t="n">
        <v>46314</v>
      </c>
      <c r="I80" s="17" t="inlineStr">
        <is>
          <t>Sin señal de actualización específica en el registro fuente; verificar vigencia.</t>
        </is>
      </c>
      <c r="J80" s="17" t="inlineStr">
        <is>
          <t>https://www.datos.gov.co/w/m463-yj48/dneh-mcp2</t>
        </is>
      </c>
      <c r="K80" s="17" t="inlineStr">
        <is>
          <t>Registro del directorio público de hoteles; confirmar vigencia y datos antes de contactar. Dirección conservada en el formato abreviado de la fuente. | Fuente: Prospectos_NeXo_La_Dorada.xlsx</t>
        </is>
      </c>
      <c r="L80" s="19">
        <f>IF($B80="","",SUBSTITUTE(INDEX(Plantillas!$B$6:$B$15,MATCH($C80,Plantillas!$A$6:$A$15,0)),"{NEGOCIO}",$B80))</f>
        <v/>
      </c>
      <c r="M80" s="18">
        <f>IF($B80="","",SUBSTITUTE(INDEX(Plantillas!$C$6:$C$15,MATCH($C80,Plantillas!$A$6:$A$15,0)),"{NEGOCIO}",$B80))</f>
        <v/>
      </c>
      <c r="N80" s="20" t="inlineStr">
        <is>
          <t>Sin correo público</t>
        </is>
      </c>
      <c r="O80" s="20" t="inlineStr">
        <is>
          <t>Pendiente de revisar</t>
        </is>
      </c>
      <c r="P80" s="20" t="inlineStr">
        <is>
          <t>Pendiente de revisión</t>
        </is>
      </c>
      <c r="Q80" s="46" t="n"/>
      <c r="R80" s="20" t="n"/>
      <c r="S80" s="20" t="inlineStr">
        <is>
          <t>Pendiente</t>
        </is>
      </c>
    </row>
    <row r="81" ht="36" customHeight="1">
      <c r="A81" s="21" t="inlineStr">
        <is>
          <t>NX-077</t>
        </is>
      </c>
      <c r="B81" s="17" t="inlineStr">
        <is>
          <t>LA AURORA FAMILIAR</t>
        </is>
      </c>
      <c r="C81" s="20" t="inlineStr">
        <is>
          <t>Hoteles y hospedajes</t>
        </is>
      </c>
      <c r="D81" s="17" t="inlineStr">
        <is>
          <t>Hotel / hospedaje</t>
        </is>
      </c>
      <c r="E81" s="17" t="inlineStr">
        <is>
          <t>hotelfamiliarlaaurora@hotmail.com</t>
        </is>
      </c>
      <c r="F81" s="17" t="inlineStr">
        <is>
          <t>3113094800</t>
        </is>
      </c>
      <c r="G81" s="17" t="inlineStr">
        <is>
          <t>K 6 46 18</t>
        </is>
      </c>
      <c r="H81" s="45" t="n">
        <v>46314</v>
      </c>
      <c r="I81" s="17" t="inlineStr">
        <is>
          <t>Sin señal de actualización específica en el registro fuente; verificar vigencia.</t>
        </is>
      </c>
      <c r="J81" s="17" t="inlineStr">
        <is>
          <t>https://www.datos.gov.co/w/m463-yj48/dneh-mcp2</t>
        </is>
      </c>
      <c r="K81" s="17" t="inlineStr">
        <is>
          <t>Registro del directorio público de hoteles; confirmar vigencia y datos antes de contactar. Dirección conservada en el formato abreviado de la fuente. | Fuente: Prospectos_NeXo_La_Dorada.xlsx</t>
        </is>
      </c>
      <c r="L81" s="19">
        <f>IF($B81="","",SUBSTITUTE(INDEX(Plantillas!$B$6:$B$15,MATCH($C81,Plantillas!$A$6:$A$15,0)),"{NEGOCIO}",$B81))</f>
        <v/>
      </c>
      <c r="M81" s="18">
        <f>IF($B81="","",SUBSTITUTE(INDEX(Plantillas!$C$6:$C$15,MATCH($C81,Plantillas!$A$6:$A$15,0)),"{NEGOCIO}",$B81))</f>
        <v/>
      </c>
      <c r="N81" s="20" t="inlineStr">
        <is>
          <t>Pendiente de verificar</t>
        </is>
      </c>
      <c r="O81" s="20" t="inlineStr">
        <is>
          <t>Pendiente de revisar</t>
        </is>
      </c>
      <c r="P81" s="20" t="inlineStr">
        <is>
          <t>Pendiente de revisión</t>
        </is>
      </c>
      <c r="Q81" s="46" t="n"/>
      <c r="R81" s="20" t="n"/>
      <c r="S81" s="20" t="inlineStr">
        <is>
          <t>Pendiente</t>
        </is>
      </c>
    </row>
    <row r="82" ht="36" customHeight="1">
      <c r="A82" s="21" t="inlineStr">
        <is>
          <t>NX-078</t>
        </is>
      </c>
      <c r="B82" s="17" t="inlineStr">
        <is>
          <t>LAS ACACIAS DE CALDAS</t>
        </is>
      </c>
      <c r="C82" s="20" t="inlineStr">
        <is>
          <t>Hoteles y hospedajes</t>
        </is>
      </c>
      <c r="D82" s="17" t="inlineStr">
        <is>
          <t>Hotel / hospedaje</t>
        </is>
      </c>
      <c r="E82" s="17" t="inlineStr">
        <is>
          <t>tatto55_@gmail.com</t>
        </is>
      </c>
      <c r="F82" s="17" t="inlineStr">
        <is>
          <t>3107488357</t>
        </is>
      </c>
      <c r="G82" s="17" t="inlineStr">
        <is>
          <t>C 14 5 31</t>
        </is>
      </c>
      <c r="H82" s="45" t="n">
        <v>46314</v>
      </c>
      <c r="I82" s="17" t="inlineStr">
        <is>
          <t>Sin señal de actualización específica en el registro fuente; verificar vigencia.</t>
        </is>
      </c>
      <c r="J82" s="17" t="inlineStr">
        <is>
          <t>https://www.datos.gov.co/w/m463-yj48/dneh-mcp2</t>
        </is>
      </c>
      <c r="K82" s="17" t="inlineStr">
        <is>
          <t>Registro del directorio público de hoteles; confirmar vigencia y datos antes de contactar. Dirección conservada en el formato abreviado de la fuente. | Fuente: Prospectos_NeXo_La_Dorada.xlsx</t>
        </is>
      </c>
      <c r="L82" s="19">
        <f>IF($B82="","",SUBSTITUTE(INDEX(Plantillas!$B$6:$B$15,MATCH($C82,Plantillas!$A$6:$A$15,0)),"{NEGOCIO}",$B82))</f>
        <v/>
      </c>
      <c r="M82" s="18">
        <f>IF($B82="","",SUBSTITUTE(INDEX(Plantillas!$C$6:$C$15,MATCH($C82,Plantillas!$A$6:$A$15,0)),"{NEGOCIO}",$B82))</f>
        <v/>
      </c>
      <c r="N82" s="20" t="inlineStr">
        <is>
          <t>Pendiente de verificar</t>
        </is>
      </c>
      <c r="O82" s="20" t="inlineStr">
        <is>
          <t>Pendiente de revisar</t>
        </is>
      </c>
      <c r="P82" s="20" t="inlineStr">
        <is>
          <t>Pendiente de revisión</t>
        </is>
      </c>
      <c r="Q82" s="46" t="n"/>
      <c r="R82" s="20" t="n"/>
      <c r="S82" s="20" t="inlineStr">
        <is>
          <t>Pendiente</t>
        </is>
      </c>
    </row>
    <row r="83" ht="36" customHeight="1">
      <c r="A83" s="21" t="inlineStr">
        <is>
          <t>NX-079</t>
        </is>
      </c>
      <c r="B83" s="17" t="inlineStr">
        <is>
          <t>RESIDENCIAS DORADA</t>
        </is>
      </c>
      <c r="C83" s="20" t="inlineStr">
        <is>
          <t>Hoteles y hospedajes</t>
        </is>
      </c>
      <c r="D83" s="17" t="inlineStr">
        <is>
          <t>Hotel / hospedaje</t>
        </is>
      </c>
      <c r="E83" s="17" t="inlineStr">
        <is>
          <t>aidafer02@hotmail.com</t>
        </is>
      </c>
      <c r="F83" s="17" t="inlineStr">
        <is>
          <t>3113688094</t>
        </is>
      </c>
      <c r="G83" s="17" t="inlineStr">
        <is>
          <t>K 5 14 08</t>
        </is>
      </c>
      <c r="H83" s="45" t="n">
        <v>46314</v>
      </c>
      <c r="I83" s="17" t="inlineStr">
        <is>
          <t>Sin señal de actualización específica en el registro fuente; verificar vigencia.</t>
        </is>
      </c>
      <c r="J83" s="17" t="inlineStr">
        <is>
          <t>https://www.datos.gov.co/w/m463-yj48/dneh-mcp2</t>
        </is>
      </c>
      <c r="K83" s="17" t="inlineStr">
        <is>
          <t>Registro del directorio público de hoteles; confirmar vigencia y datos antes de contactar. Dirección conservada en el formato abreviado de la fuente. | Fuente: Prospectos_NeXo_La_Dorada.xlsx</t>
        </is>
      </c>
      <c r="L83" s="19">
        <f>IF($B83="","",SUBSTITUTE(INDEX(Plantillas!$B$6:$B$15,MATCH($C83,Plantillas!$A$6:$A$15,0)),"{NEGOCIO}",$B83))</f>
        <v/>
      </c>
      <c r="M83" s="18">
        <f>IF($B83="","",SUBSTITUTE(INDEX(Plantillas!$C$6:$C$15,MATCH($C83,Plantillas!$A$6:$A$15,0)),"{NEGOCIO}",$B83))</f>
        <v/>
      </c>
      <c r="N83" s="20" t="inlineStr">
        <is>
          <t>Pendiente de verificar</t>
        </is>
      </c>
      <c r="O83" s="20" t="inlineStr">
        <is>
          <t>Pendiente de revisar</t>
        </is>
      </c>
      <c r="P83" s="20" t="inlineStr">
        <is>
          <t>Pendiente de revisión</t>
        </is>
      </c>
      <c r="Q83" s="46" t="n"/>
      <c r="R83" s="20" t="n"/>
      <c r="S83" s="20" t="inlineStr">
        <is>
          <t>Pendiente</t>
        </is>
      </c>
    </row>
    <row r="84" ht="36" customHeight="1">
      <c r="A84" s="21" t="inlineStr">
        <is>
          <t>NX-080</t>
        </is>
      </c>
      <c r="B84" s="17" t="inlineStr">
        <is>
          <t>CENTRAL LA DORADA</t>
        </is>
      </c>
      <c r="C84" s="20" t="inlineStr">
        <is>
          <t>Hoteles y hospedajes</t>
        </is>
      </c>
      <c r="D84" s="17" t="inlineStr">
        <is>
          <t>Hotel / hospedaje</t>
        </is>
      </c>
      <c r="E84" s="17" t="inlineStr">
        <is>
          <t>francybravorojas2014@hotmail.com</t>
        </is>
      </c>
      <c r="F84" s="17" t="inlineStr">
        <is>
          <t>3113541898</t>
        </is>
      </c>
      <c r="G84" s="17" t="inlineStr">
        <is>
          <t>C 16 3 37</t>
        </is>
      </c>
      <c r="H84" s="45" t="n">
        <v>46314</v>
      </c>
      <c r="I84" s="17" t="inlineStr">
        <is>
          <t>Sin señal de actualización específica en el registro fuente; verificar vigencia.</t>
        </is>
      </c>
      <c r="J84" s="17" t="inlineStr">
        <is>
          <t>https://www.datos.gov.co/w/m463-yj48/dneh-mcp2</t>
        </is>
      </c>
      <c r="K84" s="17" t="inlineStr">
        <is>
          <t>Registro del directorio público de hoteles; confirmar vigencia y datos antes de contactar. Dirección conservada en el formato abreviado de la fuente. | Fuente: Prospectos_NeXo_La_Dorada.xlsx</t>
        </is>
      </c>
      <c r="L84" s="19">
        <f>IF($B84="","",SUBSTITUTE(INDEX(Plantillas!$B$6:$B$15,MATCH($C84,Plantillas!$A$6:$A$15,0)),"{NEGOCIO}",$B84))</f>
        <v/>
      </c>
      <c r="M84" s="18">
        <f>IF($B84="","",SUBSTITUTE(INDEX(Plantillas!$C$6:$C$15,MATCH($C84,Plantillas!$A$6:$A$15,0)),"{NEGOCIO}",$B84))</f>
        <v/>
      </c>
      <c r="N84" s="20" t="inlineStr">
        <is>
          <t>Pendiente de verificar</t>
        </is>
      </c>
      <c r="O84" s="20" t="inlineStr">
        <is>
          <t>Pendiente de revisar</t>
        </is>
      </c>
      <c r="P84" s="20" t="inlineStr">
        <is>
          <t>Pendiente de revisión</t>
        </is>
      </c>
      <c r="Q84" s="46" t="n"/>
      <c r="R84" s="20" t="n"/>
      <c r="S84" s="20" t="inlineStr">
        <is>
          <t>Pendiente</t>
        </is>
      </c>
    </row>
    <row r="85" ht="36" customHeight="1">
      <c r="A85" s="21" t="inlineStr">
        <is>
          <t>NX-081</t>
        </is>
      </c>
      <c r="B85" s="17" t="inlineStr">
        <is>
          <t>VILLA DEL RÍO MAGDALENA</t>
        </is>
      </c>
      <c r="C85" s="20" t="inlineStr">
        <is>
          <t>Hoteles y hospedajes</t>
        </is>
      </c>
      <c r="D85" s="17" t="inlineStr">
        <is>
          <t>Hotel / hospedaje</t>
        </is>
      </c>
      <c r="E85" s="17" t="inlineStr">
        <is>
          <t>motopaisa123@hotmail.com</t>
        </is>
      </c>
      <c r="F85" s="17" t="inlineStr">
        <is>
          <t>3208499272</t>
        </is>
      </c>
      <c r="G85" s="17" t="inlineStr">
        <is>
          <t>K 3 16 49</t>
        </is>
      </c>
      <c r="H85" s="45" t="n">
        <v>46314</v>
      </c>
      <c r="I85" s="17" t="inlineStr">
        <is>
          <t>Sin señal de actualización específica en el registro fuente; verificar vigencia.</t>
        </is>
      </c>
      <c r="J85" s="17" t="inlineStr">
        <is>
          <t>https://www.datos.gov.co/w/m463-yj48/dneh-mcp2</t>
        </is>
      </c>
      <c r="K85" s="17" t="inlineStr">
        <is>
          <t>Registro del directorio público de hoteles; confirmar vigencia y datos antes de contactar. Dirección conservada en el formato abreviado de la fuente. | Fuente: Prospectos_NeXo_La_Dorada.xlsx</t>
        </is>
      </c>
      <c r="L85" s="19">
        <f>IF($B85="","",SUBSTITUTE(INDEX(Plantillas!$B$6:$B$15,MATCH($C85,Plantillas!$A$6:$A$15,0)),"{NEGOCIO}",$B85))</f>
        <v/>
      </c>
      <c r="M85" s="18">
        <f>IF($B85="","",SUBSTITUTE(INDEX(Plantillas!$C$6:$C$15,MATCH($C85,Plantillas!$A$6:$A$15,0)),"{NEGOCIO}",$B85))</f>
        <v/>
      </c>
      <c r="N85" s="20" t="inlineStr">
        <is>
          <t>Pendiente de verificar</t>
        </is>
      </c>
      <c r="O85" s="20" t="inlineStr">
        <is>
          <t>Pendiente de revisar</t>
        </is>
      </c>
      <c r="P85" s="20" t="inlineStr">
        <is>
          <t>Pendiente de revisión</t>
        </is>
      </c>
      <c r="Q85" s="46" t="n"/>
      <c r="R85" s="20" t="n"/>
      <c r="S85" s="20" t="inlineStr">
        <is>
          <t>Pendiente</t>
        </is>
      </c>
    </row>
    <row r="86" ht="36" customHeight="1">
      <c r="A86" s="21" t="inlineStr">
        <is>
          <t>NX-082</t>
        </is>
      </c>
      <c r="B86" s="17" t="inlineStr">
        <is>
          <t>HOTEL REFUGIO EN EL CAMINO</t>
        </is>
      </c>
      <c r="C86" s="20" t="inlineStr">
        <is>
          <t>Hoteles y hospedajes</t>
        </is>
      </c>
      <c r="D86" s="17" t="inlineStr">
        <is>
          <t>Hotel / hospedaje</t>
        </is>
      </c>
      <c r="E86" s="17" t="n"/>
      <c r="F86" s="17" t="inlineStr">
        <is>
          <t>3105436376</t>
        </is>
      </c>
      <c r="G86" s="17" t="inlineStr">
        <is>
          <t>K 5 13</t>
        </is>
      </c>
      <c r="H86" s="45" t="n">
        <v>46314</v>
      </c>
      <c r="I86" s="17" t="inlineStr">
        <is>
          <t>Sin señal de actualización específica en el registro fuente; verificar vigencia.</t>
        </is>
      </c>
      <c r="J86" s="17" t="inlineStr">
        <is>
          <t>https://www.datos.gov.co/w/m463-yj48/dneh-mcp2</t>
        </is>
      </c>
      <c r="K86" s="17" t="inlineStr">
        <is>
          <t>Registro del directorio público de hoteles; confirmar vigencia y datos antes de contactar. Dirección conservada en el formato abreviado de la fuente. | Fuente: Prospectos_NeXo_La_Dorada.xlsx</t>
        </is>
      </c>
      <c r="L86" s="19">
        <f>IF($B86="","",SUBSTITUTE(INDEX(Plantillas!$B$6:$B$15,MATCH($C86,Plantillas!$A$6:$A$15,0)),"{NEGOCIO}",$B86))</f>
        <v/>
      </c>
      <c r="M86" s="18">
        <f>IF($B86="","",SUBSTITUTE(INDEX(Plantillas!$C$6:$C$15,MATCH($C86,Plantillas!$A$6:$A$15,0)),"{NEGOCIO}",$B86))</f>
        <v/>
      </c>
      <c r="N86" s="20" t="inlineStr">
        <is>
          <t>Sin correo público</t>
        </is>
      </c>
      <c r="O86" s="20" t="inlineStr">
        <is>
          <t>Pendiente de revisar</t>
        </is>
      </c>
      <c r="P86" s="20" t="inlineStr">
        <is>
          <t>Pendiente de revisión</t>
        </is>
      </c>
      <c r="Q86" s="46" t="n"/>
      <c r="R86" s="20" t="n"/>
      <c r="S86" s="20" t="inlineStr">
        <is>
          <t>Pendiente</t>
        </is>
      </c>
    </row>
    <row r="87" ht="36" customHeight="1">
      <c r="A87" s="21" t="inlineStr">
        <is>
          <t>NX-083</t>
        </is>
      </c>
      <c r="B87" s="17" t="inlineStr">
        <is>
          <t>HOTEL BRISAS DEL MAGDALENA</t>
        </is>
      </c>
      <c r="C87" s="20" t="inlineStr">
        <is>
          <t>Hoteles y hospedajes</t>
        </is>
      </c>
      <c r="D87" s="17" t="inlineStr">
        <is>
          <t>Hotel / hospedaje</t>
        </is>
      </c>
      <c r="E87" s="17" t="inlineStr">
        <is>
          <t>henrvasv@hotmail.com</t>
        </is>
      </c>
      <c r="F87" s="17" t="inlineStr">
        <is>
          <t>3007342075</t>
        </is>
      </c>
      <c r="G87" s="17" t="inlineStr">
        <is>
          <t>K 2 5 61</t>
        </is>
      </c>
      <c r="H87" s="45" t="n">
        <v>46314</v>
      </c>
      <c r="I87" s="17" t="inlineStr">
        <is>
          <t>Sin señal de actualización específica en el registro fuente; verificar vigencia.</t>
        </is>
      </c>
      <c r="J87" s="17" t="inlineStr">
        <is>
          <t>https://www.datos.gov.co/w/m463-yj48/dneh-mcp2</t>
        </is>
      </c>
      <c r="K87" s="17" t="inlineStr">
        <is>
          <t>Registro del directorio público de hoteles; confirmar vigencia y datos antes de contactar. Dirección conservada en el formato abreviado de la fuente. | Fuente: Prospectos_NeXo_La_Dorada.xlsx</t>
        </is>
      </c>
      <c r="L87" s="19">
        <f>IF($B87="","",SUBSTITUTE(INDEX(Plantillas!$B$6:$B$15,MATCH($C87,Plantillas!$A$6:$A$15,0)),"{NEGOCIO}",$B87))</f>
        <v/>
      </c>
      <c r="M87" s="18">
        <f>IF($B87="","",SUBSTITUTE(INDEX(Plantillas!$C$6:$C$15,MATCH($C87,Plantillas!$A$6:$A$15,0)),"{NEGOCIO}",$B87))</f>
        <v/>
      </c>
      <c r="N87" s="20" t="inlineStr">
        <is>
          <t>Pendiente de verificar</t>
        </is>
      </c>
      <c r="O87" s="20" t="inlineStr">
        <is>
          <t>Pendiente de revisar</t>
        </is>
      </c>
      <c r="P87" s="20" t="inlineStr">
        <is>
          <t>Pendiente de revisión</t>
        </is>
      </c>
      <c r="Q87" s="46" t="n"/>
      <c r="R87" s="20" t="n"/>
      <c r="S87" s="20" t="inlineStr">
        <is>
          <t>Pendiente</t>
        </is>
      </c>
    </row>
    <row r="88" ht="36" customHeight="1">
      <c r="A88" s="21" t="inlineStr">
        <is>
          <t>NX-084</t>
        </is>
      </c>
      <c r="B88" s="17" t="inlineStr">
        <is>
          <t>HOSPEDAJE MARACANÁ</t>
        </is>
      </c>
      <c r="C88" s="20" t="inlineStr">
        <is>
          <t>Hoteles y hospedajes</t>
        </is>
      </c>
      <c r="D88" s="17" t="inlineStr">
        <is>
          <t>Hotel / hospedaje</t>
        </is>
      </c>
      <c r="E88" s="17" t="n"/>
      <c r="F88" s="17" t="inlineStr">
        <is>
          <t>3147997326</t>
        </is>
      </c>
      <c r="G88" s="17" t="inlineStr">
        <is>
          <t>C 16 5 31</t>
        </is>
      </c>
      <c r="H88" s="45" t="n">
        <v>46314</v>
      </c>
      <c r="I88" s="17" t="inlineStr">
        <is>
          <t>Sin señal de actualización específica en el registro fuente; verificar vigencia.</t>
        </is>
      </c>
      <c r="J88" s="17" t="inlineStr">
        <is>
          <t>https://www.datos.gov.co/w/m463-yj48/dneh-mcp2</t>
        </is>
      </c>
      <c r="K88" s="17" t="inlineStr">
        <is>
          <t>Registro del directorio público de hoteles; confirmar vigencia y datos antes de contactar. Dirección conservada en el formato abreviado de la fuente. | Fuente: Prospectos_NeXo_La_Dorada.xlsx</t>
        </is>
      </c>
      <c r="L88" s="19">
        <f>IF($B88="","",SUBSTITUTE(INDEX(Plantillas!$B$6:$B$15,MATCH($C88,Plantillas!$A$6:$A$15,0)),"{NEGOCIO}",$B88))</f>
        <v/>
      </c>
      <c r="M88" s="18">
        <f>IF($B88="","",SUBSTITUTE(INDEX(Plantillas!$C$6:$C$15,MATCH($C88,Plantillas!$A$6:$A$15,0)),"{NEGOCIO}",$B88))</f>
        <v/>
      </c>
      <c r="N88" s="20" t="inlineStr">
        <is>
          <t>Sin correo público</t>
        </is>
      </c>
      <c r="O88" s="20" t="inlineStr">
        <is>
          <t>Pendiente de revisar</t>
        </is>
      </c>
      <c r="P88" s="20" t="inlineStr">
        <is>
          <t>Pendiente de revisión</t>
        </is>
      </c>
      <c r="Q88" s="46" t="n"/>
      <c r="R88" s="20" t="n"/>
      <c r="S88" s="20" t="inlineStr">
        <is>
          <t>Pendiente</t>
        </is>
      </c>
    </row>
    <row r="89" ht="36" customHeight="1">
      <c r="A89" s="21" t="inlineStr">
        <is>
          <t>NX-085</t>
        </is>
      </c>
      <c r="B89" s="17" t="inlineStr">
        <is>
          <t>RESIDENCIAS PLAZA</t>
        </is>
      </c>
      <c r="C89" s="20" t="inlineStr">
        <is>
          <t>Hoteles y hospedajes</t>
        </is>
      </c>
      <c r="D89" s="17" t="inlineStr">
        <is>
          <t>Hotel / hospedaje</t>
        </is>
      </c>
      <c r="E89" s="17" t="n"/>
      <c r="F89" s="17" t="inlineStr">
        <is>
          <t>3137314913</t>
        </is>
      </c>
      <c r="G89" s="17" t="inlineStr">
        <is>
          <t>K 6 15 39</t>
        </is>
      </c>
      <c r="H89" s="45" t="n">
        <v>46314</v>
      </c>
      <c r="I89" s="17" t="inlineStr">
        <is>
          <t>Sin señal de actualización específica en el registro fuente; verificar vigencia.</t>
        </is>
      </c>
      <c r="J89" s="17" t="inlineStr">
        <is>
          <t>https://www.datos.gov.co/w/m463-yj48/dneh-mcp2</t>
        </is>
      </c>
      <c r="K89" s="17" t="inlineStr">
        <is>
          <t>Registro del directorio público de hoteles; confirmar vigencia y datos antes de contactar. Dirección conservada en el formato abreviado de la fuente. | Fuente: Prospectos_NeXo_La_Dorada.xlsx</t>
        </is>
      </c>
      <c r="L89" s="19">
        <f>IF($B89="","",SUBSTITUTE(INDEX(Plantillas!$B$6:$B$15,MATCH($C89,Plantillas!$A$6:$A$15,0)),"{NEGOCIO}",$B89))</f>
        <v/>
      </c>
      <c r="M89" s="18">
        <f>IF($B89="","",SUBSTITUTE(INDEX(Plantillas!$C$6:$C$15,MATCH($C89,Plantillas!$A$6:$A$15,0)),"{NEGOCIO}",$B89))</f>
        <v/>
      </c>
      <c r="N89" s="20" t="inlineStr">
        <is>
          <t>Sin correo público</t>
        </is>
      </c>
      <c r="O89" s="20" t="inlineStr">
        <is>
          <t>Pendiente de revisar</t>
        </is>
      </c>
      <c r="P89" s="20" t="inlineStr">
        <is>
          <t>Pendiente de revisión</t>
        </is>
      </c>
      <c r="Q89" s="46" t="n"/>
      <c r="R89" s="20" t="n"/>
      <c r="S89" s="20" t="inlineStr">
        <is>
          <t>Pendiente</t>
        </is>
      </c>
    </row>
    <row r="90" ht="36" customHeight="1">
      <c r="A90" s="21" t="inlineStr">
        <is>
          <t>NX-086</t>
        </is>
      </c>
      <c r="B90" s="17" t="inlineStr">
        <is>
          <t>RESDIENCIAS ALCALA</t>
        </is>
      </c>
      <c r="C90" s="20" t="inlineStr">
        <is>
          <t>Hoteles y hospedajes</t>
        </is>
      </c>
      <c r="D90" s="17" t="inlineStr">
        <is>
          <t>Hotel / hospedaje</t>
        </is>
      </c>
      <c r="E90" s="17" t="n"/>
      <c r="F90" s="17" t="n"/>
      <c r="G90" s="17" t="inlineStr">
        <is>
          <t>GUARINOCITO</t>
        </is>
      </c>
      <c r="H90" s="45" t="n">
        <v>46314</v>
      </c>
      <c r="I90" s="17" t="inlineStr">
        <is>
          <t>Sin señal de actualización específica en el registro fuente; verificar vigencia.</t>
        </is>
      </c>
      <c r="J90" s="17" t="inlineStr">
        <is>
          <t>https://www.datos.gov.co/w/m463-yj48/dneh-mcp2</t>
        </is>
      </c>
      <c r="K90" s="17" t="inlineStr">
        <is>
          <t>Registro del directorio público de hoteles; confirmar vigencia y datos antes de contactar. Dirección conservada en el formato abreviado de la fuente. | Fuente: Prospectos_NeXo_La_Dorada.xlsx</t>
        </is>
      </c>
      <c r="L90" s="19">
        <f>IF($B90="","",SUBSTITUTE(INDEX(Plantillas!$B$6:$B$15,MATCH($C90,Plantillas!$A$6:$A$15,0)),"{NEGOCIO}",$B90))</f>
        <v/>
      </c>
      <c r="M90" s="18">
        <f>IF($B90="","",SUBSTITUTE(INDEX(Plantillas!$C$6:$C$15,MATCH($C90,Plantillas!$A$6:$A$15,0)),"{NEGOCIO}",$B90))</f>
        <v/>
      </c>
      <c r="N90" s="20" t="inlineStr">
        <is>
          <t>Sin correo público</t>
        </is>
      </c>
      <c r="O90" s="20" t="inlineStr">
        <is>
          <t>Pendiente de revisar</t>
        </is>
      </c>
      <c r="P90" s="20" t="inlineStr">
        <is>
          <t>Pendiente de revisión</t>
        </is>
      </c>
      <c r="Q90" s="46" t="n"/>
      <c r="R90" s="20" t="n"/>
      <c r="S90" s="20" t="inlineStr">
        <is>
          <t>Pendiente</t>
        </is>
      </c>
    </row>
    <row r="91" ht="36" customHeight="1">
      <c r="A91" s="21" t="inlineStr">
        <is>
          <t>NX-087</t>
        </is>
      </c>
      <c r="B91" s="17" t="inlineStr">
        <is>
          <t>RESIDENCIAS VERSALLES</t>
        </is>
      </c>
      <c r="C91" s="20" t="inlineStr">
        <is>
          <t>Hoteles y hospedajes</t>
        </is>
      </c>
      <c r="D91" s="17" t="inlineStr">
        <is>
          <t>Hotel / hospedaje</t>
        </is>
      </c>
      <c r="E91" s="17" t="inlineStr">
        <is>
          <t>reycast32@gmail.com</t>
        </is>
      </c>
      <c r="F91" s="17" t="inlineStr">
        <is>
          <t>3104733995</t>
        </is>
      </c>
      <c r="G91" s="17" t="inlineStr">
        <is>
          <t>C 18 4 58</t>
        </is>
      </c>
      <c r="H91" s="45" t="n">
        <v>46314</v>
      </c>
      <c r="I91" s="17" t="inlineStr">
        <is>
          <t>Sin señal de actualización específica en el registro fuente; verificar vigencia.</t>
        </is>
      </c>
      <c r="J91" s="17" t="inlineStr">
        <is>
          <t>https://www.datos.gov.co/w/m463-yj48/dneh-mcp2</t>
        </is>
      </c>
      <c r="K91" s="17" t="inlineStr">
        <is>
          <t>Registro del directorio público de hoteles; confirmar vigencia y datos antes de contactar. Dirección conservada en el formato abreviado de la fuente. | Fuente: Prospectos_NeXo_La_Dorada.xlsx</t>
        </is>
      </c>
      <c r="L91" s="19">
        <f>IF($B91="","",SUBSTITUTE(INDEX(Plantillas!$B$6:$B$15,MATCH($C91,Plantillas!$A$6:$A$15,0)),"{NEGOCIO}",$B91))</f>
        <v/>
      </c>
      <c r="M91" s="18">
        <f>IF($B91="","",SUBSTITUTE(INDEX(Plantillas!$C$6:$C$15,MATCH($C91,Plantillas!$A$6:$A$15,0)),"{NEGOCIO}",$B91))</f>
        <v/>
      </c>
      <c r="N91" s="20" t="inlineStr">
        <is>
          <t>Pendiente de verificar</t>
        </is>
      </c>
      <c r="O91" s="20" t="inlineStr">
        <is>
          <t>Pendiente de revisar</t>
        </is>
      </c>
      <c r="P91" s="20" t="inlineStr">
        <is>
          <t>Pendiente de revisión</t>
        </is>
      </c>
      <c r="Q91" s="46" t="n"/>
      <c r="R91" s="20" t="n"/>
      <c r="S91" s="20" t="inlineStr">
        <is>
          <t>Pendiente</t>
        </is>
      </c>
    </row>
    <row r="92" ht="36" customHeight="1">
      <c r="A92" s="21" t="inlineStr">
        <is>
          <t>NX-088</t>
        </is>
      </c>
      <c r="B92" s="17" t="inlineStr">
        <is>
          <t>ECOPARCHE - TUKU TRIPS CAMPAMENTO</t>
        </is>
      </c>
      <c r="C92" s="20" t="inlineStr">
        <is>
          <t>Hoteles y hospedajes</t>
        </is>
      </c>
      <c r="D92" s="17" t="inlineStr">
        <is>
          <t>Hotel / hospedaje</t>
        </is>
      </c>
      <c r="E92" s="17" t="inlineStr">
        <is>
          <t>tukutrips@gmail.com</t>
        </is>
      </c>
      <c r="F92" s="17" t="inlineStr">
        <is>
          <t>3128036009</t>
        </is>
      </c>
      <c r="G92" s="17" t="inlineStr">
        <is>
          <t>FINCA LA CANTERA</t>
        </is>
      </c>
      <c r="H92" s="45" t="n">
        <v>46314</v>
      </c>
      <c r="I92" s="17" t="inlineStr">
        <is>
          <t>Sin señal de actualización específica en el registro fuente; verificar vigencia.</t>
        </is>
      </c>
      <c r="J92" s="17" t="inlineStr">
        <is>
          <t>https://www.datos.gov.co/w/m463-yj48/dneh-mcp2</t>
        </is>
      </c>
      <c r="K92" s="17" t="inlineStr">
        <is>
          <t>Registro del directorio público de hoteles; confirmar vigencia y datos antes de contactar. Dirección conservada en el formato abreviado de la fuente. | Fuente: Prospectos_NeXo_La_Dorada.xlsx</t>
        </is>
      </c>
      <c r="L92" s="19">
        <f>IF($B92="","",SUBSTITUTE(INDEX(Plantillas!$B$6:$B$15,MATCH($C92,Plantillas!$A$6:$A$15,0)),"{NEGOCIO}",$B92))</f>
        <v/>
      </c>
      <c r="M92" s="18">
        <f>IF($B92="","",SUBSTITUTE(INDEX(Plantillas!$C$6:$C$15,MATCH($C92,Plantillas!$A$6:$A$15,0)),"{NEGOCIO}",$B92))</f>
        <v/>
      </c>
      <c r="N92" s="20" t="inlineStr">
        <is>
          <t>Pendiente de verificar</t>
        </is>
      </c>
      <c r="O92" s="20" t="inlineStr">
        <is>
          <t>Pendiente de revisar</t>
        </is>
      </c>
      <c r="P92" s="20" t="inlineStr">
        <is>
          <t>Pendiente de revisión</t>
        </is>
      </c>
      <c r="Q92" s="46" t="n"/>
      <c r="R92" s="20" t="n"/>
      <c r="S92" s="20" t="inlineStr">
        <is>
          <t>Pendiente</t>
        </is>
      </c>
    </row>
    <row r="93" ht="36" customHeight="1">
      <c r="A93" s="21" t="inlineStr">
        <is>
          <t>NX-089</t>
        </is>
      </c>
      <c r="B93" s="17" t="inlineStr">
        <is>
          <t>HOTEL MARIIOS</t>
        </is>
      </c>
      <c r="C93" s="20" t="inlineStr">
        <is>
          <t>Hoteles y hospedajes</t>
        </is>
      </c>
      <c r="D93" s="17" t="inlineStr">
        <is>
          <t>Hotel / hospedaje</t>
        </is>
      </c>
      <c r="E93" s="17" t="n"/>
      <c r="F93" s="17" t="inlineStr">
        <is>
          <t>3108788729</t>
        </is>
      </c>
      <c r="G93" s="17" t="inlineStr">
        <is>
          <t>C 13 3 50</t>
        </is>
      </c>
      <c r="H93" s="45" t="n">
        <v>46314</v>
      </c>
      <c r="I93" s="17" t="inlineStr">
        <is>
          <t>Sin señal de actualización específica en el registro fuente; verificar vigencia.</t>
        </is>
      </c>
      <c r="J93" s="17" t="inlineStr">
        <is>
          <t>https://www.datos.gov.co/w/m463-yj48/dneh-mcp2</t>
        </is>
      </c>
      <c r="K93" s="17" t="inlineStr">
        <is>
          <t>Registro del directorio público de hoteles; confirmar vigencia y datos antes de contactar. Dirección conservada en el formato abreviado de la fuente. | Fuente: Prospectos_NeXo_La_Dorada.xlsx</t>
        </is>
      </c>
      <c r="L93" s="19">
        <f>IF($B93="","",SUBSTITUTE(INDEX(Plantillas!$B$6:$B$15,MATCH($C93,Plantillas!$A$6:$A$15,0)),"{NEGOCIO}",$B93))</f>
        <v/>
      </c>
      <c r="M93" s="18">
        <f>IF($B93="","",SUBSTITUTE(INDEX(Plantillas!$C$6:$C$15,MATCH($C93,Plantillas!$A$6:$A$15,0)),"{NEGOCIO}",$B93))</f>
        <v/>
      </c>
      <c r="N93" s="20" t="inlineStr">
        <is>
          <t>Sin correo público</t>
        </is>
      </c>
      <c r="O93" s="20" t="inlineStr">
        <is>
          <t>Pendiente de revisar</t>
        </is>
      </c>
      <c r="P93" s="20" t="inlineStr">
        <is>
          <t>Pendiente de revisión</t>
        </is>
      </c>
      <c r="Q93" s="46" t="n"/>
      <c r="R93" s="20" t="n"/>
      <c r="S93" s="20" t="inlineStr">
        <is>
          <t>Pendiente</t>
        </is>
      </c>
    </row>
    <row r="94" ht="36" customHeight="1">
      <c r="A94" s="21" t="inlineStr">
        <is>
          <t>NX-090</t>
        </is>
      </c>
      <c r="B94" s="17" t="inlineStr">
        <is>
          <t>HOTEL PARIS MC</t>
        </is>
      </c>
      <c r="C94" s="20" t="inlineStr">
        <is>
          <t>Hoteles y hospedajes</t>
        </is>
      </c>
      <c r="D94" s="17" t="inlineStr">
        <is>
          <t>Hotel / hospedaje</t>
        </is>
      </c>
      <c r="E94" s="17" t="inlineStr">
        <is>
          <t>ivancardonacarlos@gmail.com</t>
        </is>
      </c>
      <c r="F94" s="17" t="inlineStr">
        <is>
          <t>3235874679</t>
        </is>
      </c>
      <c r="G94" s="17" t="inlineStr">
        <is>
          <t>C 10B K 6</t>
        </is>
      </c>
      <c r="H94" s="45" t="n">
        <v>46314</v>
      </c>
      <c r="I94" s="17" t="inlineStr">
        <is>
          <t>Sin señal de actualización específica en el registro fuente; verificar vigencia.</t>
        </is>
      </c>
      <c r="J94" s="17" t="inlineStr">
        <is>
          <t>https://www.datos.gov.co/w/m463-yj48/dneh-mcp2</t>
        </is>
      </c>
      <c r="K94" s="17" t="inlineStr">
        <is>
          <t>Registro del directorio público de hoteles; confirmar vigencia y datos antes de contactar. Dirección conservada en el formato abreviado de la fuente. | Fuente: Prospectos_NeXo_La_Dorada.xlsx</t>
        </is>
      </c>
      <c r="L94" s="19">
        <f>IF($B94="","",SUBSTITUTE(INDEX(Plantillas!$B$6:$B$15,MATCH($C94,Plantillas!$A$6:$A$15,0)),"{NEGOCIO}",$B94))</f>
        <v/>
      </c>
      <c r="M94" s="18">
        <f>IF($B94="","",SUBSTITUTE(INDEX(Plantillas!$C$6:$C$15,MATCH($C94,Plantillas!$A$6:$A$15,0)),"{NEGOCIO}",$B94))</f>
        <v/>
      </c>
      <c r="N94" s="20" t="inlineStr">
        <is>
          <t>Pendiente de verificar</t>
        </is>
      </c>
      <c r="O94" s="20" t="inlineStr">
        <is>
          <t>Pendiente de revisar</t>
        </is>
      </c>
      <c r="P94" s="20" t="inlineStr">
        <is>
          <t>Pendiente de revisión</t>
        </is>
      </c>
      <c r="Q94" s="46" t="n"/>
      <c r="R94" s="20" t="n"/>
      <c r="S94" s="20" t="inlineStr">
        <is>
          <t>Pendiente</t>
        </is>
      </c>
    </row>
    <row r="95" ht="36" customHeight="1">
      <c r="A95" s="21" t="inlineStr">
        <is>
          <t>NX-091</t>
        </is>
      </c>
      <c r="B95" s="17" t="inlineStr">
        <is>
          <t>HOTEL SAN RAFAEL</t>
        </is>
      </c>
      <c r="C95" s="20" t="inlineStr">
        <is>
          <t>Hoteles y hospedajes</t>
        </is>
      </c>
      <c r="D95" s="17" t="inlineStr">
        <is>
          <t>Hotel / hospedaje</t>
        </is>
      </c>
      <c r="E95" s="17" t="n"/>
      <c r="F95" s="17" t="inlineStr">
        <is>
          <t>3127343959</t>
        </is>
      </c>
      <c r="G95" s="17" t="inlineStr">
        <is>
          <t>GUARINOCITO</t>
        </is>
      </c>
      <c r="H95" s="45" t="n">
        <v>46314</v>
      </c>
      <c r="I95" s="17" t="inlineStr">
        <is>
          <t>Sin señal de actualización específica en el registro fuente; verificar vigencia.</t>
        </is>
      </c>
      <c r="J95" s="17" t="inlineStr">
        <is>
          <t>https://www.datos.gov.co/w/m463-yj48/dneh-mcp2</t>
        </is>
      </c>
      <c r="K95" s="17" t="inlineStr">
        <is>
          <t>Registro del directorio público de hoteles; confirmar vigencia y datos antes de contactar. Dirección conservada en el formato abreviado de la fuente. | Fuente: Prospectos_NeXo_La_Dorada.xlsx</t>
        </is>
      </c>
      <c r="L95" s="19">
        <f>IF($B95="","",SUBSTITUTE(INDEX(Plantillas!$B$6:$B$15,MATCH($C95,Plantillas!$A$6:$A$15,0)),"{NEGOCIO}",$B95))</f>
        <v/>
      </c>
      <c r="M95" s="18">
        <f>IF($B95="","",SUBSTITUTE(INDEX(Plantillas!$C$6:$C$15,MATCH($C95,Plantillas!$A$6:$A$15,0)),"{NEGOCIO}",$B95))</f>
        <v/>
      </c>
      <c r="N95" s="20" t="inlineStr">
        <is>
          <t>Sin correo público</t>
        </is>
      </c>
      <c r="O95" s="20" t="inlineStr">
        <is>
          <t>Pendiente de revisar</t>
        </is>
      </c>
      <c r="P95" s="20" t="inlineStr">
        <is>
          <t>Pendiente de revisión</t>
        </is>
      </c>
      <c r="Q95" s="46" t="n"/>
      <c r="R95" s="20" t="n"/>
      <c r="S95" s="20" t="inlineStr">
        <is>
          <t>Pendiente</t>
        </is>
      </c>
    </row>
    <row r="96" ht="36" customHeight="1">
      <c r="A96" s="21" t="inlineStr">
        <is>
          <t>NX-092</t>
        </is>
      </c>
      <c r="B96" s="17" t="inlineStr">
        <is>
          <t>RESIDENCIAS EDS GUARINOCITO</t>
        </is>
      </c>
      <c r="C96" s="20" t="inlineStr">
        <is>
          <t>Hoteles y hospedajes</t>
        </is>
      </c>
      <c r="D96" s="17" t="inlineStr">
        <is>
          <t>Hotel / hospedaje</t>
        </is>
      </c>
      <c r="E96" s="17" t="n"/>
      <c r="F96" s="17" t="n"/>
      <c r="G96" s="17" t="inlineStr">
        <is>
          <t>GUARINOCITO</t>
        </is>
      </c>
      <c r="H96" s="45" t="n">
        <v>46314</v>
      </c>
      <c r="I96" s="17" t="inlineStr">
        <is>
          <t>Sin señal de actualización específica en el registro fuente; verificar vigencia.</t>
        </is>
      </c>
      <c r="J96" s="17" t="inlineStr">
        <is>
          <t>https://www.datos.gov.co/w/m463-yj48/dneh-mcp2</t>
        </is>
      </c>
      <c r="K96" s="17" t="inlineStr">
        <is>
          <t>Registro del directorio público de hoteles; confirmar vigencia y datos antes de contactar. Dirección conservada en el formato abreviado de la fuente. | Fuente: Prospectos_NeXo_La_Dorada.xlsx</t>
        </is>
      </c>
      <c r="L96" s="19">
        <f>IF($B96="","",SUBSTITUTE(INDEX(Plantillas!$B$6:$B$15,MATCH($C96,Plantillas!$A$6:$A$15,0)),"{NEGOCIO}",$B96))</f>
        <v/>
      </c>
      <c r="M96" s="18">
        <f>IF($B96="","",SUBSTITUTE(INDEX(Plantillas!$C$6:$C$15,MATCH($C96,Plantillas!$A$6:$A$15,0)),"{NEGOCIO}",$B96))</f>
        <v/>
      </c>
      <c r="N96" s="20" t="inlineStr">
        <is>
          <t>Sin correo público</t>
        </is>
      </c>
      <c r="O96" s="20" t="inlineStr">
        <is>
          <t>Pendiente de revisar</t>
        </is>
      </c>
      <c r="P96" s="20" t="inlineStr">
        <is>
          <t>Pendiente de revisión</t>
        </is>
      </c>
      <c r="Q96" s="46" t="n"/>
      <c r="R96" s="20" t="n"/>
      <c r="S96" s="20" t="inlineStr">
        <is>
          <t>Pendiente</t>
        </is>
      </c>
    </row>
    <row r="97" ht="36" customHeight="1">
      <c r="A97" s="21" t="inlineStr">
        <is>
          <t>NX-093</t>
        </is>
      </c>
      <c r="B97" s="17" t="inlineStr">
        <is>
          <t>CABAÑAS VILLA DILIA</t>
        </is>
      </c>
      <c r="C97" s="20" t="inlineStr">
        <is>
          <t>Hoteles y hospedajes</t>
        </is>
      </c>
      <c r="D97" s="17" t="inlineStr">
        <is>
          <t>Hotel / hospedaje</t>
        </is>
      </c>
      <c r="E97" s="17" t="n"/>
      <c r="F97" s="17" t="inlineStr">
        <is>
          <t>3206868747</t>
        </is>
      </c>
      <c r="G97" s="17" t="inlineStr">
        <is>
          <t>PURNIO</t>
        </is>
      </c>
      <c r="H97" s="45" t="n">
        <v>46314</v>
      </c>
      <c r="I97" s="17" t="inlineStr">
        <is>
          <t>Sin señal de actualización específica en el registro fuente; verificar vigencia.</t>
        </is>
      </c>
      <c r="J97" s="17" t="inlineStr">
        <is>
          <t>https://www.datos.gov.co/w/m463-yj48/dneh-mcp2</t>
        </is>
      </c>
      <c r="K97" s="17" t="inlineStr">
        <is>
          <t>Registro del directorio público de hoteles; confirmar vigencia y datos antes de contactar. Dirección conservada en el formato abreviado de la fuente. | Fuente: Prospectos_NeXo_La_Dorada.xlsx</t>
        </is>
      </c>
      <c r="L97" s="19">
        <f>IF($B97="","",SUBSTITUTE(INDEX(Plantillas!$B$6:$B$15,MATCH($C97,Plantillas!$A$6:$A$15,0)),"{NEGOCIO}",$B97))</f>
        <v/>
      </c>
      <c r="M97" s="18">
        <f>IF($B97="","",SUBSTITUTE(INDEX(Plantillas!$C$6:$C$15,MATCH($C97,Plantillas!$A$6:$A$15,0)),"{NEGOCIO}",$B97))</f>
        <v/>
      </c>
      <c r="N97" s="20" t="inlineStr">
        <is>
          <t>Sin correo público</t>
        </is>
      </c>
      <c r="O97" s="20" t="inlineStr">
        <is>
          <t>Pendiente de revisar</t>
        </is>
      </c>
      <c r="P97" s="20" t="inlineStr">
        <is>
          <t>Pendiente de revisión</t>
        </is>
      </c>
      <c r="Q97" s="46" t="n"/>
      <c r="R97" s="20" t="n"/>
      <c r="S97" s="20" t="inlineStr">
        <is>
          <t>Pendiente</t>
        </is>
      </c>
    </row>
    <row r="98" ht="36" customHeight="1">
      <c r="A98" s="21" t="inlineStr">
        <is>
          <t>NX-094</t>
        </is>
      </c>
      <c r="B98" s="17" t="inlineStr">
        <is>
          <t>LA MILAGROSA</t>
        </is>
      </c>
      <c r="C98" s="20" t="inlineStr">
        <is>
          <t>Hoteles y hospedajes</t>
        </is>
      </c>
      <c r="D98" s="17" t="inlineStr">
        <is>
          <t>Hotel / hospedaje</t>
        </is>
      </c>
      <c r="E98" s="17" t="n"/>
      <c r="F98" s="17" t="inlineStr">
        <is>
          <t>3148858974</t>
        </is>
      </c>
      <c r="G98" s="17" t="inlineStr">
        <is>
          <t>HUMADERA</t>
        </is>
      </c>
      <c r="H98" s="45" t="n">
        <v>46314</v>
      </c>
      <c r="I98" s="17" t="inlineStr">
        <is>
          <t>Sin señal de actualización específica en el registro fuente; verificar vigencia.</t>
        </is>
      </c>
      <c r="J98" s="17" t="inlineStr">
        <is>
          <t>https://www.datos.gov.co/w/m463-yj48/dneh-mcp2</t>
        </is>
      </c>
      <c r="K98" s="17" t="inlineStr">
        <is>
          <t>Registro del directorio público de hoteles; confirmar vigencia y datos antes de contactar. Dirección conservada en el formato abreviado de la fuente. | Fuente: Prospectos_NeXo_La_Dorada.xlsx</t>
        </is>
      </c>
      <c r="L98" s="19">
        <f>IF($B98="","",SUBSTITUTE(INDEX(Plantillas!$B$6:$B$15,MATCH($C98,Plantillas!$A$6:$A$15,0)),"{NEGOCIO}",$B98))</f>
        <v/>
      </c>
      <c r="M98" s="18">
        <f>IF($B98="","",SUBSTITUTE(INDEX(Plantillas!$C$6:$C$15,MATCH($C98,Plantillas!$A$6:$A$15,0)),"{NEGOCIO}",$B98))</f>
        <v/>
      </c>
      <c r="N98" s="20" t="inlineStr">
        <is>
          <t>Sin correo público</t>
        </is>
      </c>
      <c r="O98" s="20" t="inlineStr">
        <is>
          <t>Pendiente de revisar</t>
        </is>
      </c>
      <c r="P98" s="20" t="inlineStr">
        <is>
          <t>Pendiente de revisión</t>
        </is>
      </c>
      <c r="Q98" s="46" t="n"/>
      <c r="R98" s="20" t="n"/>
      <c r="S98" s="20" t="inlineStr">
        <is>
          <t>Pendiente</t>
        </is>
      </c>
    </row>
    <row r="99" ht="36" customHeight="1">
      <c r="A99" s="21" t="inlineStr">
        <is>
          <t>NX-095</t>
        </is>
      </c>
      <c r="B99" s="17" t="inlineStr">
        <is>
          <t>REFUGIO MONTE OSCURO</t>
        </is>
      </c>
      <c r="C99" s="20" t="inlineStr">
        <is>
          <t>Hoteles y hospedajes</t>
        </is>
      </c>
      <c r="D99" s="17" t="inlineStr">
        <is>
          <t>Hotel / hospedaje</t>
        </is>
      </c>
      <c r="E99" s="17" t="inlineStr">
        <is>
          <t>monteoscurosanmiguel@gmail.com</t>
        </is>
      </c>
      <c r="F99" s="17" t="inlineStr">
        <is>
          <t>3148419269</t>
        </is>
      </c>
      <c r="G99" s="17" t="inlineStr">
        <is>
          <t>LA ATARRAYA</t>
        </is>
      </c>
      <c r="H99" s="45" t="n">
        <v>46314</v>
      </c>
      <c r="I99" s="17" t="inlineStr">
        <is>
          <t>Sin señal de actualización específica en el registro fuente; verificar vigencia.</t>
        </is>
      </c>
      <c r="J99" s="17" t="inlineStr">
        <is>
          <t>https://www.datos.gov.co/w/m463-yj48/dneh-mcp2</t>
        </is>
      </c>
      <c r="K99" s="17" t="inlineStr">
        <is>
          <t>Registro del directorio público de hoteles; confirmar vigencia y datos antes de contactar. Dirección conservada en el formato abreviado de la fuente. | Fuente: Prospectos_NeXo_La_Dorada.xlsx</t>
        </is>
      </c>
      <c r="L99" s="19">
        <f>IF($B99="","",SUBSTITUTE(INDEX(Plantillas!$B$6:$B$15,MATCH($C99,Plantillas!$A$6:$A$15,0)),"{NEGOCIO}",$B99))</f>
        <v/>
      </c>
      <c r="M99" s="18">
        <f>IF($B99="","",SUBSTITUTE(INDEX(Plantillas!$C$6:$C$15,MATCH($C99,Plantillas!$A$6:$A$15,0)),"{NEGOCIO}",$B99))</f>
        <v/>
      </c>
      <c r="N99" s="20" t="inlineStr">
        <is>
          <t>Pendiente de verificar</t>
        </is>
      </c>
      <c r="O99" s="20" t="inlineStr">
        <is>
          <t>Pendiente de revisar</t>
        </is>
      </c>
      <c r="P99" s="20" t="inlineStr">
        <is>
          <t>Pendiente de revisión</t>
        </is>
      </c>
      <c r="Q99" s="46" t="n"/>
      <c r="R99" s="20" t="n"/>
      <c r="S99" s="20" t="inlineStr">
        <is>
          <t>Pendiente</t>
        </is>
      </c>
    </row>
    <row r="100" ht="36" customHeight="1">
      <c r="A100" s="21" t="inlineStr">
        <is>
          <t>NX-096</t>
        </is>
      </c>
      <c r="B100" s="17" t="inlineStr">
        <is>
          <t>HOTEL PARADOR LOS MANGOS</t>
        </is>
      </c>
      <c r="C100" s="20" t="inlineStr">
        <is>
          <t>Hoteles y hospedajes</t>
        </is>
      </c>
      <c r="D100" s="17" t="inlineStr">
        <is>
          <t>Hotel / hospedaje</t>
        </is>
      </c>
      <c r="E100" s="17" t="n"/>
      <c r="F100" s="17" t="inlineStr">
        <is>
          <t>3106112786</t>
        </is>
      </c>
      <c r="G100" s="17" t="inlineStr">
        <is>
          <t>GUARINOCITO</t>
        </is>
      </c>
      <c r="H100" s="45" t="n">
        <v>46314</v>
      </c>
      <c r="I100" s="17" t="inlineStr">
        <is>
          <t>Sin señal de actualización específica en el registro fuente; verificar vigencia.</t>
        </is>
      </c>
      <c r="J100" s="17" t="inlineStr">
        <is>
          <t>https://www.datos.gov.co/w/m463-yj48/dneh-mcp2</t>
        </is>
      </c>
      <c r="K100" s="17" t="inlineStr">
        <is>
          <t>Registro del directorio público de hoteles; confirmar vigencia y datos antes de contactar. Dirección conservada en el formato abreviado de la fuente. | Fuente: Prospectos_NeXo_La_Dorada.xlsx</t>
        </is>
      </c>
      <c r="L100" s="19">
        <f>IF($B100="","",SUBSTITUTE(INDEX(Plantillas!$B$6:$B$15,MATCH($C100,Plantillas!$A$6:$A$15,0)),"{NEGOCIO}",$B100))</f>
        <v/>
      </c>
      <c r="M100" s="18">
        <f>IF($B100="","",SUBSTITUTE(INDEX(Plantillas!$C$6:$C$15,MATCH($C100,Plantillas!$A$6:$A$15,0)),"{NEGOCIO}",$B100))</f>
        <v/>
      </c>
      <c r="N100" s="20" t="inlineStr">
        <is>
          <t>Sin correo público</t>
        </is>
      </c>
      <c r="O100" s="20" t="inlineStr">
        <is>
          <t>Pendiente de revisar</t>
        </is>
      </c>
      <c r="P100" s="20" t="inlineStr">
        <is>
          <t>Pendiente de revisión</t>
        </is>
      </c>
      <c r="Q100" s="46" t="n"/>
      <c r="R100" s="20" t="n"/>
      <c r="S100" s="20" t="inlineStr">
        <is>
          <t>Pendiente</t>
        </is>
      </c>
    </row>
    <row r="101" ht="36" customHeight="1">
      <c r="A101" s="21" t="inlineStr">
        <is>
          <t>NX-097</t>
        </is>
      </c>
      <c r="B101" s="17" t="inlineStr">
        <is>
          <t>Hospital San Félix</t>
        </is>
      </c>
      <c r="C101" s="20" t="inlineStr">
        <is>
          <t>Salud y atención médica</t>
        </is>
      </c>
      <c r="D101" s="17" t="inlineStr">
        <is>
          <t>Salud</t>
        </is>
      </c>
      <c r="E101" s="17" t="inlineStr">
        <is>
          <t>administracion@esehospitalsanfelix.gov.co</t>
        </is>
      </c>
      <c r="F101" s="17" t="inlineStr">
        <is>
          <t>606 857 1900 / 606 839 2000</t>
        </is>
      </c>
      <c r="G101" s="17" t="inlineStr">
        <is>
          <t>Calle 12 #4-20, La Dorada</t>
        </is>
      </c>
      <c r="H101" s="45" t="n">
        <v>46314</v>
      </c>
      <c r="I101" s="17" t="inlineStr">
        <is>
          <t>Sin señal de actualización específica en el registro fuente; verificar vigencia.</t>
        </is>
      </c>
      <c r="J101" s="17" t="inlineStr">
        <is>
          <t>https://www.hospitalsanfelix.gov.co/images/Plan%20de%20desarrollo%202020%20hsf.pdf | https://www.funcionpublica.gov.co/</t>
        </is>
      </c>
      <c r="K101" s="17" t="inlineStr">
        <is>
          <t>Confirmar teléfono y canal de compras/mantenimiento; datos encontrados en fuentes públicas distintas. | Fuente: Prospectos_NeXo_La_Dorada.xlsx</t>
        </is>
      </c>
      <c r="L101" s="19">
        <f>IF($B101="","",SUBSTITUTE(INDEX(Plantillas!$B$6:$B$15,MATCH($C101,Plantillas!$A$6:$A$15,0)),"{NEGOCIO}",$B101))</f>
        <v/>
      </c>
      <c r="M101" s="18">
        <f>IF($B101="","",SUBSTITUTE(INDEX(Plantillas!$C$6:$C$15,MATCH($C101,Plantillas!$A$6:$A$15,0)),"{NEGOCIO}",$B101))</f>
        <v/>
      </c>
      <c r="N101" s="20" t="inlineStr">
        <is>
          <t>Pendiente de verificar</t>
        </is>
      </c>
      <c r="O101" s="20" t="inlineStr">
        <is>
          <t>Pendiente de revisar</t>
        </is>
      </c>
      <c r="P101" s="20" t="inlineStr">
        <is>
          <t>Pendiente de revisión</t>
        </is>
      </c>
      <c r="Q101" s="46" t="n"/>
      <c r="R101" s="20" t="n"/>
      <c r="S101" s="20" t="inlineStr">
        <is>
          <t>Pendiente</t>
        </is>
      </c>
    </row>
    <row r="102" ht="36" customHeight="1">
      <c r="A102" s="21" t="inlineStr">
        <is>
          <t>NX-098</t>
        </is>
      </c>
      <c r="B102" s="17" t="inlineStr">
        <is>
          <t>ESE Salud Dorada</t>
        </is>
      </c>
      <c r="C102" s="20" t="inlineStr">
        <is>
          <t>Salud y atención médica</t>
        </is>
      </c>
      <c r="D102" s="17" t="inlineStr">
        <is>
          <t>Salud</t>
        </is>
      </c>
      <c r="E102" s="17" t="n"/>
      <c r="F102" s="17" t="inlineStr">
        <is>
          <t>606 857 6950</t>
        </is>
      </c>
      <c r="G102" s="17" t="inlineStr">
        <is>
          <t>Carrera 2 #14-37</t>
        </is>
      </c>
      <c r="H102" s="45" t="n">
        <v>46314</v>
      </c>
      <c r="I102" s="17" t="inlineStr">
        <is>
          <t>Sin señal de actualización específica en el registro fuente; verificar vigencia.</t>
        </is>
      </c>
      <c r="J102" s="17" t="inlineStr">
        <is>
          <t>https://www.municipios.com.co/telefonos/caldas/la-dorada</t>
        </is>
      </c>
      <c r="K102" s="17" t="inlineStr">
        <is>
          <t>Teléfono y dirección en directorio municipal; verificar vigencia. | Fuente: Prospectos_NeXo_La_Dorada.xlsx</t>
        </is>
      </c>
      <c r="L102" s="19">
        <f>IF($B102="","",SUBSTITUTE(INDEX(Plantillas!$B$6:$B$15,MATCH($C102,Plantillas!$A$6:$A$15,0)),"{NEGOCIO}",$B102))</f>
        <v/>
      </c>
      <c r="M102" s="18">
        <f>IF($B102="","",SUBSTITUTE(INDEX(Plantillas!$C$6:$C$15,MATCH($C102,Plantillas!$A$6:$A$15,0)),"{NEGOCIO}",$B102))</f>
        <v/>
      </c>
      <c r="N102" s="20" t="inlineStr">
        <is>
          <t>Sin correo público</t>
        </is>
      </c>
      <c r="O102" s="20" t="inlineStr">
        <is>
          <t>Pendiente de revisar</t>
        </is>
      </c>
      <c r="P102" s="20" t="inlineStr">
        <is>
          <t>Pendiente de revisión</t>
        </is>
      </c>
      <c r="Q102" s="46" t="n"/>
      <c r="R102" s="20" t="n"/>
      <c r="S102" s="20" t="inlineStr">
        <is>
          <t>Pendiente</t>
        </is>
      </c>
    </row>
    <row r="103" ht="36" customHeight="1">
      <c r="A103" s="21" t="inlineStr">
        <is>
          <t>NX-099</t>
        </is>
      </c>
      <c r="B103" s="17" t="inlineStr">
        <is>
          <t>Clínica de Fracturas Vita</t>
        </is>
      </c>
      <c r="C103" s="20" t="inlineStr">
        <is>
          <t>Salud y atención médica</t>
        </is>
      </c>
      <c r="D103" s="17" t="inlineStr">
        <is>
          <t>Salud</t>
        </is>
      </c>
      <c r="E103" s="17" t="inlineStr">
        <is>
          <t>gestiondocumental@clinicavita.com.co</t>
        </is>
      </c>
      <c r="F103" s="17" t="inlineStr">
        <is>
          <t>606 839 0630 / 312 753 2965 / 314 894 6860</t>
        </is>
      </c>
      <c r="G103" s="17" t="inlineStr">
        <is>
          <t>Calle 12 #2-03, esquina</t>
        </is>
      </c>
      <c r="H103" s="45" t="n">
        <v>46314</v>
      </c>
      <c r="I103" s="17" t="inlineStr">
        <is>
          <t>Sin señal de actualización específica en el registro fuente; verificar vigencia.</t>
        </is>
      </c>
      <c r="J103" s="17" t="inlineStr">
        <is>
          <t>https://clinicavita.com.co/</t>
        </is>
      </c>
      <c r="K103" s="17" t="inlineStr">
        <is>
          <t>Contacto publicado en sitio oficial. | Fuente: Prospectos_NeXo_La_Dorada.xlsx</t>
        </is>
      </c>
      <c r="L103" s="19">
        <f>IF($B103="","",SUBSTITUTE(INDEX(Plantillas!$B$6:$B$15,MATCH($C103,Plantillas!$A$6:$A$15,0)),"{NEGOCIO}",$B103))</f>
        <v/>
      </c>
      <c r="M103" s="18">
        <f>IF($B103="","",SUBSTITUTE(INDEX(Plantillas!$C$6:$C$15,MATCH($C103,Plantillas!$A$6:$A$15,0)),"{NEGOCIO}",$B103))</f>
        <v/>
      </c>
      <c r="N103" s="20" t="inlineStr">
        <is>
          <t>Pendiente de verificar</t>
        </is>
      </c>
      <c r="O103" s="20" t="inlineStr">
        <is>
          <t>Pendiente de revisar</t>
        </is>
      </c>
      <c r="P103" s="20" t="inlineStr">
        <is>
          <t>Pendiente de revisión</t>
        </is>
      </c>
      <c r="Q103" s="46" t="n"/>
      <c r="R103" s="20" t="n"/>
      <c r="S103" s="20" t="inlineStr">
        <is>
          <t>Pendiente</t>
        </is>
      </c>
    </row>
    <row r="104" ht="36" customHeight="1">
      <c r="A104" s="21" t="inlineStr">
        <is>
          <t>NX-100</t>
        </is>
      </c>
      <c r="B104" s="17" t="inlineStr">
        <is>
          <t>Clínica Flavio Restrepo</t>
        </is>
      </c>
      <c r="C104" s="20" t="inlineStr">
        <is>
          <t>Salud y atención médica</t>
        </is>
      </c>
      <c r="D104" s="17" t="inlineStr">
        <is>
          <t>Salud</t>
        </is>
      </c>
      <c r="E104" s="17" t="inlineStr">
        <is>
          <t>clinicaflavioportal@hotmail.com; archivo.cfr@gmail.com</t>
        </is>
      </c>
      <c r="F104" s="17" t="inlineStr">
        <is>
          <t>310 430 0086 / 314 843 6493 / 312 807 1395</t>
        </is>
      </c>
      <c r="G104" s="17" t="inlineStr">
        <is>
          <t>Consultas: Calle 12 #3-28; urgencias: Calle 13 #2-25</t>
        </is>
      </c>
      <c r="H104" s="45" t="n">
        <v>46314</v>
      </c>
      <c r="I104" s="17" t="inlineStr">
        <is>
          <t>Sin señal de actualización específica en el registro fuente; verificar vigencia.</t>
        </is>
      </c>
      <c r="J104" s="17" t="inlineStr">
        <is>
          <t>https://www.clinicaflaviorestrepo.com/la-clinica</t>
        </is>
      </c>
      <c r="K104" s="17" t="inlineStr">
        <is>
          <t>Contacto publicado en sitio institucional. | Fuente: Prospectos_NeXo_La_Dorada.xlsx</t>
        </is>
      </c>
      <c r="L104" s="19">
        <f>IF($B104="","",SUBSTITUTE(INDEX(Plantillas!$B$6:$B$15,MATCH($C104,Plantillas!$A$6:$A$15,0)),"{NEGOCIO}",$B104))</f>
        <v/>
      </c>
      <c r="M104" s="18">
        <f>IF($B104="","",SUBSTITUTE(INDEX(Plantillas!$C$6:$C$15,MATCH($C104,Plantillas!$A$6:$A$15,0)),"{NEGOCIO}",$B104))</f>
        <v/>
      </c>
      <c r="N104" s="20" t="inlineStr">
        <is>
          <t>Pendiente de verificar</t>
        </is>
      </c>
      <c r="O104" s="20" t="inlineStr">
        <is>
          <t>Pendiente de revisar</t>
        </is>
      </c>
      <c r="P104" s="20" t="inlineStr">
        <is>
          <t>Pendiente de revisión</t>
        </is>
      </c>
      <c r="Q104" s="46" t="n"/>
      <c r="R104" s="20" t="n"/>
      <c r="S104" s="20" t="inlineStr">
        <is>
          <t>Pendiente</t>
        </is>
      </c>
    </row>
    <row r="105" ht="36" customHeight="1">
      <c r="A105" s="21" t="inlineStr">
        <is>
          <t>NX-101</t>
        </is>
      </c>
      <c r="B105" s="17" t="inlineStr">
        <is>
          <t>DentiStar IPS</t>
        </is>
      </c>
      <c r="C105" s="20" t="inlineStr">
        <is>
          <t>Salud y atención médica</t>
        </is>
      </c>
      <c r="D105" s="17" t="inlineStr">
        <is>
          <t>Salud</t>
        </is>
      </c>
      <c r="E105" s="17" t="inlineStr">
        <is>
          <t>contacto@dentistarips.com; gerencia@dentistarips.com</t>
        </is>
      </c>
      <c r="F105" s="17" t="inlineStr">
        <is>
          <t>310 831 6015 / 606 857 3170</t>
        </is>
      </c>
      <c r="G105" s="17" t="inlineStr">
        <is>
          <t>Calle 12 #3-31</t>
        </is>
      </c>
      <c r="H105" s="45" t="n">
        <v>46314</v>
      </c>
      <c r="I105" s="17" t="inlineStr">
        <is>
          <t>Sin señal de actualización específica en el registro fuente; verificar vigencia.</t>
        </is>
      </c>
      <c r="J105" s="17" t="inlineStr">
        <is>
          <t>https://www.dentistarips.com/contacto/</t>
        </is>
      </c>
      <c r="K105" s="17" t="inlineStr">
        <is>
          <t>Contacto publicado en sitio oficial. | Fuente: Prospectos_NeXo_La_Dorada.xlsx</t>
        </is>
      </c>
      <c r="L105" s="19">
        <f>IF($B105="","",SUBSTITUTE(INDEX(Plantillas!$B$6:$B$15,MATCH($C105,Plantillas!$A$6:$A$15,0)),"{NEGOCIO}",$B105))</f>
        <v/>
      </c>
      <c r="M105" s="18">
        <f>IF($B105="","",SUBSTITUTE(INDEX(Plantillas!$C$6:$C$15,MATCH($C105,Plantillas!$A$6:$A$15,0)),"{NEGOCIO}",$B105))</f>
        <v/>
      </c>
      <c r="N105" s="20" t="inlineStr">
        <is>
          <t>Pendiente de verificar</t>
        </is>
      </c>
      <c r="O105" s="20" t="inlineStr">
        <is>
          <t>Pendiente de revisar</t>
        </is>
      </c>
      <c r="P105" s="20" t="inlineStr">
        <is>
          <t>Pendiente de revisión</t>
        </is>
      </c>
      <c r="Q105" s="46" t="n"/>
      <c r="R105" s="20" t="n"/>
      <c r="S105" s="20" t="inlineStr">
        <is>
          <t>Pendiente</t>
        </is>
      </c>
    </row>
    <row r="106" ht="36" customHeight="1">
      <c r="A106" s="21" t="inlineStr">
        <is>
          <t>NX-102</t>
        </is>
      </c>
      <c r="B106" s="17" t="inlineStr">
        <is>
          <t>Medicare IPS</t>
        </is>
      </c>
      <c r="C106" s="20" t="inlineStr">
        <is>
          <t>Salud y atención médica</t>
        </is>
      </c>
      <c r="D106" s="17" t="inlineStr">
        <is>
          <t>Salud</t>
        </is>
      </c>
      <c r="E106" s="17" t="inlineStr">
        <is>
          <t>contacto@medicareips.com.co</t>
        </is>
      </c>
      <c r="F106" s="17" t="inlineStr">
        <is>
          <t>321 270 1208</t>
        </is>
      </c>
      <c r="G106" s="17" t="inlineStr">
        <is>
          <t>Calle 12 #5-31</t>
        </is>
      </c>
      <c r="H106" s="45" t="n">
        <v>46314</v>
      </c>
      <c r="I106" s="17" t="inlineStr">
        <is>
          <t>Sin señal de actualización específica en el registro fuente; verificar vigencia.</t>
        </is>
      </c>
      <c r="J106" s="17" t="inlineStr">
        <is>
          <t>https://www.medicareips.com.co/html/info.html</t>
        </is>
      </c>
      <c r="K106" s="17" t="inlineStr">
        <is>
          <t>Contacto publicado en sitio oficial. | Fuente: Prospectos_NeXo_La_Dorada.xlsx</t>
        </is>
      </c>
      <c r="L106" s="19">
        <f>IF($B106="","",SUBSTITUTE(INDEX(Plantillas!$B$6:$B$15,MATCH($C106,Plantillas!$A$6:$A$15,0)),"{NEGOCIO}",$B106))</f>
        <v/>
      </c>
      <c r="M106" s="18">
        <f>IF($B106="","",SUBSTITUTE(INDEX(Plantillas!$C$6:$C$15,MATCH($C106,Plantillas!$A$6:$A$15,0)),"{NEGOCIO}",$B106))</f>
        <v/>
      </c>
      <c r="N106" s="20" t="inlineStr">
        <is>
          <t>Pendiente de verificar</t>
        </is>
      </c>
      <c r="O106" s="20" t="inlineStr">
        <is>
          <t>Pendiente de revisar</t>
        </is>
      </c>
      <c r="P106" s="20" t="inlineStr">
        <is>
          <t>Pendiente de revisión</t>
        </is>
      </c>
      <c r="Q106" s="46" t="n"/>
      <c r="R106" s="20" t="n"/>
      <c r="S106" s="20" t="inlineStr">
        <is>
          <t>Pendiente</t>
        </is>
      </c>
    </row>
    <row r="107" ht="36" customHeight="1">
      <c r="A107" s="21" t="inlineStr">
        <is>
          <t>NX-103</t>
        </is>
      </c>
      <c r="B107" s="17" t="inlineStr">
        <is>
          <t>Mi IPS SAS</t>
        </is>
      </c>
      <c r="C107" s="20" t="inlineStr">
        <is>
          <t>Salud y atención médica</t>
        </is>
      </c>
      <c r="D107" s="17" t="inlineStr">
        <is>
          <t>Salud</t>
        </is>
      </c>
      <c r="E107" s="17" t="inlineStr">
        <is>
          <t>gerencia.miips@gmail.com</t>
        </is>
      </c>
      <c r="F107" s="17" t="inlineStr">
        <is>
          <t>312 299 4274</t>
        </is>
      </c>
      <c r="G107" s="17" t="inlineStr">
        <is>
          <t>Carrera 7 #12-24</t>
        </is>
      </c>
      <c r="H107" s="45" t="n">
        <v>46314</v>
      </c>
      <c r="I107" s="17" t="inlineStr">
        <is>
          <t>Sin señal de actualización específica en el registro fuente; verificar vigencia.</t>
        </is>
      </c>
      <c r="J107" s="17" t="inlineStr">
        <is>
          <t>https://www.cliini.ai/herramientas/consulta-reps/1738002712</t>
        </is>
      </c>
      <c r="K107" s="17" t="inlineStr">
        <is>
          <t>Ficha consultada en septiembre de 2026; directorios muestran un teléfono alternativo, confirmar. | Fuente: Prospectos_NeXo_La_Dorada.xlsx</t>
        </is>
      </c>
      <c r="L107" s="19">
        <f>IF($B107="","",SUBSTITUTE(INDEX(Plantillas!$B$6:$B$15,MATCH($C107,Plantillas!$A$6:$A$15,0)),"{NEGOCIO}",$B107))</f>
        <v/>
      </c>
      <c r="M107" s="18">
        <f>IF($B107="","",SUBSTITUTE(INDEX(Plantillas!$C$6:$C$15,MATCH($C107,Plantillas!$A$6:$A$15,0)),"{NEGOCIO}",$B107))</f>
        <v/>
      </c>
      <c r="N107" s="20" t="inlineStr">
        <is>
          <t>Pendiente de verificar</t>
        </is>
      </c>
      <c r="O107" s="20" t="inlineStr">
        <is>
          <t>Pendiente de revisar</t>
        </is>
      </c>
      <c r="P107" s="20" t="inlineStr">
        <is>
          <t>Pendiente de revisión</t>
        </is>
      </c>
      <c r="Q107" s="46" t="n"/>
      <c r="R107" s="20" t="n"/>
      <c r="S107" s="20" t="inlineStr">
        <is>
          <t>Pendiente</t>
        </is>
      </c>
    </row>
    <row r="108" ht="36" customHeight="1">
      <c r="A108" s="21" t="inlineStr">
        <is>
          <t>NX-104</t>
        </is>
      </c>
      <c r="B108" s="17" t="inlineStr">
        <is>
          <t>Sociedad Unisalud</t>
        </is>
      </c>
      <c r="C108" s="20" t="inlineStr">
        <is>
          <t>Salud y atención médica</t>
        </is>
      </c>
      <c r="D108" s="17" t="inlineStr">
        <is>
          <t>Salud</t>
        </is>
      </c>
      <c r="E108" s="17" t="inlineStr">
        <is>
          <t>frontsalud@sociedadunisalud.com</t>
        </is>
      </c>
      <c r="F108" s="17" t="inlineStr">
        <is>
          <t>606 837 4626 / 606 837 4627 / 312 299 0651 / 313 361 7861</t>
        </is>
      </c>
      <c r="G108" s="17" t="inlineStr">
        <is>
          <t>Calle 10 #7-05</t>
        </is>
      </c>
      <c r="H108" s="45" t="n">
        <v>46314</v>
      </c>
      <c r="I108" s="17" t="inlineStr">
        <is>
          <t>Sin señal de actualización específica en el registro fuente; verificar vigencia.</t>
        </is>
      </c>
      <c r="J108" s="17" t="inlineStr">
        <is>
          <t>https://www.sociedadunisalud.com/la-dorada/</t>
        </is>
      </c>
      <c r="K108" s="17" t="inlineStr">
        <is>
          <t>Contacto publicado en sitio institucional. | Fuente: Prospectos_NeXo_La_Dorada.xlsx</t>
        </is>
      </c>
      <c r="L108" s="19">
        <f>IF($B108="","",SUBSTITUTE(INDEX(Plantillas!$B$6:$B$15,MATCH($C108,Plantillas!$A$6:$A$15,0)),"{NEGOCIO}",$B108))</f>
        <v/>
      </c>
      <c r="M108" s="18">
        <f>IF($B108="","",SUBSTITUTE(INDEX(Plantillas!$C$6:$C$15,MATCH($C108,Plantillas!$A$6:$A$15,0)),"{NEGOCIO}",$B108))</f>
        <v/>
      </c>
      <c r="N108" s="20" t="inlineStr">
        <is>
          <t>Pendiente de verificar</t>
        </is>
      </c>
      <c r="O108" s="20" t="inlineStr">
        <is>
          <t>Pendiente de revisar</t>
        </is>
      </c>
      <c r="P108" s="20" t="inlineStr">
        <is>
          <t>Pendiente de revisión</t>
        </is>
      </c>
      <c r="Q108" s="46" t="n"/>
      <c r="R108" s="20" t="n"/>
      <c r="S108" s="20" t="inlineStr">
        <is>
          <t>Pendiente</t>
        </is>
      </c>
    </row>
    <row r="109" ht="36" customHeight="1">
      <c r="A109" s="21" t="inlineStr">
        <is>
          <t>NX-105</t>
        </is>
      </c>
      <c r="B109" s="17" t="inlineStr">
        <is>
          <t>Unidad de Salud y Cuidados de Altos Riesgos</t>
        </is>
      </c>
      <c r="C109" s="20" t="inlineStr">
        <is>
          <t>Salud y atención médica</t>
        </is>
      </c>
      <c r="D109" s="17" t="inlineStr">
        <is>
          <t>Salud</t>
        </is>
      </c>
      <c r="E109" s="17" t="n"/>
      <c r="F109" s="17" t="inlineStr">
        <is>
          <t>606 857 0481</t>
        </is>
      </c>
      <c r="G109" s="17" t="n"/>
      <c r="H109" s="45" t="n">
        <v>46314</v>
      </c>
      <c r="I109" s="17" t="inlineStr">
        <is>
          <t>Sin señal de actualización específica en el registro fuente; verificar vigencia.</t>
        </is>
      </c>
      <c r="J109" s="17" t="inlineStr">
        <is>
          <t>https://www.informacolombia.com/directorio-empresas/localidad_la-dorada</t>
        </is>
      </c>
      <c r="K109" s="17" t="inlineStr">
        <is>
          <t>Teléfono de directorio empresarial; confirmar razón social y vigencia. | Fuente: Prospectos_NeXo_La_Dorada.xlsx</t>
        </is>
      </c>
      <c r="L109" s="19">
        <f>IF($B109="","",SUBSTITUTE(INDEX(Plantillas!$B$6:$B$15,MATCH($C109,Plantillas!$A$6:$A$15,0)),"{NEGOCIO}",$B109))</f>
        <v/>
      </c>
      <c r="M109" s="18">
        <f>IF($B109="","",SUBSTITUTE(INDEX(Plantillas!$C$6:$C$15,MATCH($C109,Plantillas!$A$6:$A$15,0)),"{NEGOCIO}",$B109))</f>
        <v/>
      </c>
      <c r="N109" s="20" t="inlineStr">
        <is>
          <t>Sin correo público</t>
        </is>
      </c>
      <c r="O109" s="20" t="inlineStr">
        <is>
          <t>Pendiente de revisar</t>
        </is>
      </c>
      <c r="P109" s="20" t="inlineStr">
        <is>
          <t>Pendiente de revisión</t>
        </is>
      </c>
      <c r="Q109" s="46" t="n"/>
      <c r="R109" s="20" t="n"/>
      <c r="S109" s="20" t="inlineStr">
        <is>
          <t>Pendiente</t>
        </is>
      </c>
    </row>
    <row r="110" ht="36" customHeight="1">
      <c r="A110" s="21" t="inlineStr">
        <is>
          <t>NX-106</t>
        </is>
      </c>
      <c r="B110" s="17" t="inlineStr">
        <is>
          <t>Armony</t>
        </is>
      </c>
      <c r="C110" s="20" t="inlineStr">
        <is>
          <t>Salud y atención médica</t>
        </is>
      </c>
      <c r="D110" s="17" t="inlineStr">
        <is>
          <t>Salud</t>
        </is>
      </c>
      <c r="E110" s="17" t="n"/>
      <c r="F110" s="17" t="inlineStr">
        <is>
          <t>322 622 6532</t>
        </is>
      </c>
      <c r="G110" s="17" t="n"/>
      <c r="H110" s="45" t="n">
        <v>46314</v>
      </c>
      <c r="I110" s="17" t="inlineStr">
        <is>
          <t>Sin señal de actualización específica en el registro fuente; verificar vigencia.</t>
        </is>
      </c>
      <c r="J110" s="17" t="inlineStr">
        <is>
          <t>https://www.informacolombia.com/directorio-empresas/localidad_la-dorada</t>
        </is>
      </c>
      <c r="K110" s="17" t="inlineStr">
        <is>
          <t>Teléfono de directorio empresarial; confirmar razón social y vigencia. | Fuente: Prospectos_NeXo_La_Dorada.xlsx</t>
        </is>
      </c>
      <c r="L110" s="19">
        <f>IF($B110="","",SUBSTITUTE(INDEX(Plantillas!$B$6:$B$15,MATCH($C110,Plantillas!$A$6:$A$15,0)),"{NEGOCIO}",$B110))</f>
        <v/>
      </c>
      <c r="M110" s="18">
        <f>IF($B110="","",SUBSTITUTE(INDEX(Plantillas!$C$6:$C$15,MATCH($C110,Plantillas!$A$6:$A$15,0)),"{NEGOCIO}",$B110))</f>
        <v/>
      </c>
      <c r="N110" s="20" t="inlineStr">
        <is>
          <t>Sin correo público</t>
        </is>
      </c>
      <c r="O110" s="20" t="inlineStr">
        <is>
          <t>Pendiente de revisar</t>
        </is>
      </c>
      <c r="P110" s="20" t="inlineStr">
        <is>
          <t>Pendiente de revisión</t>
        </is>
      </c>
      <c r="Q110" s="46" t="n"/>
      <c r="R110" s="20" t="n"/>
      <c r="S110" s="20" t="inlineStr">
        <is>
          <t>Pendiente</t>
        </is>
      </c>
    </row>
    <row r="111" ht="36" customHeight="1">
      <c r="A111" s="21" t="inlineStr">
        <is>
          <t>NX-107</t>
        </is>
      </c>
      <c r="B111" s="17" t="inlineStr">
        <is>
          <t>Cámara de Comercio de La Dorada, Puerto Boyacá, Puerto Salgar y Oriente de Caldas</t>
        </is>
      </c>
      <c r="C111" s="20" t="inlineStr">
        <is>
          <t>Empresas y servicios</t>
        </is>
      </c>
      <c r="D111" s="17" t="inlineStr">
        <is>
          <t>Entidad empresarial</t>
        </is>
      </c>
      <c r="E111" s="17" t="inlineStr">
        <is>
          <t>secretaria@camaradorada.org.co</t>
        </is>
      </c>
      <c r="F111" s="17" t="inlineStr">
        <is>
          <t>606 839 1737 / 606 839 1738; WhatsApp publicado: 322 522 4665</t>
        </is>
      </c>
      <c r="G111" s="17" t="inlineStr">
        <is>
          <t>Calle 13 #2-24</t>
        </is>
      </c>
      <c r="H111" s="45" t="n">
        <v>46314</v>
      </c>
      <c r="I111" s="17" t="inlineStr">
        <is>
          <t>Sin señal de actualización específica en el registro fuente; verificar vigencia.</t>
        </is>
      </c>
      <c r="J111" s="17" t="inlineStr">
        <is>
          <t>https://camaradorada.org.co/es/datos-de-acceso-oficina-principal-dorada | https://confecamaras.org.co/conozca-la-red-de-camaras-de-comercio/</t>
        </is>
      </c>
      <c r="K111" s="17" t="inlineStr">
        <is>
          <t>Contacto institucional; no enviar publicidad por WhatsApp sin consentimiento. | Fuente: Prospectos_NeXo_La_Dorada.xlsx</t>
        </is>
      </c>
      <c r="L111" s="19">
        <f>IF($B111="","",SUBSTITUTE(INDEX(Plantillas!$B$6:$B$15,MATCH($C111,Plantillas!$A$6:$A$15,0)),"{NEGOCIO}",$B111))</f>
        <v/>
      </c>
      <c r="M111" s="18">
        <f>IF($B111="","",SUBSTITUTE(INDEX(Plantillas!$C$6:$C$15,MATCH($C111,Plantillas!$A$6:$A$15,0)),"{NEGOCIO}",$B111))</f>
        <v/>
      </c>
      <c r="N111" s="20" t="inlineStr">
        <is>
          <t>Pendiente de verificar</t>
        </is>
      </c>
      <c r="O111" s="20" t="inlineStr">
        <is>
          <t>Pendiente de revisar</t>
        </is>
      </c>
      <c r="P111" s="20" t="inlineStr">
        <is>
          <t>Pendiente de revisión</t>
        </is>
      </c>
      <c r="Q111" s="46" t="n"/>
      <c r="R111" s="20" t="n"/>
      <c r="S111" s="20" t="inlineStr">
        <is>
          <t>Pendiente</t>
        </is>
      </c>
    </row>
    <row r="112" ht="36" customHeight="1">
      <c r="A112" s="21" t="inlineStr">
        <is>
          <t>NX-108</t>
        </is>
      </c>
      <c r="B112" s="17" t="inlineStr">
        <is>
          <t>UNAD Centro de Educación a Distancia La Dorada</t>
        </is>
      </c>
      <c r="C112" s="20" t="inlineStr">
        <is>
          <t>Educación e instituciones</t>
        </is>
      </c>
      <c r="D112" s="17" t="inlineStr">
        <is>
          <t>Educación</t>
        </is>
      </c>
      <c r="E112" s="17" t="inlineStr">
        <is>
          <t>dorada@unad.edu.co</t>
        </is>
      </c>
      <c r="F112" s="17" t="inlineStr">
        <is>
          <t>323 264 1617</t>
        </is>
      </c>
      <c r="G112" s="17" t="inlineStr">
        <is>
          <t>Calle 32 #1-40</t>
        </is>
      </c>
      <c r="H112" s="45" t="n">
        <v>46314</v>
      </c>
      <c r="I112" s="17" t="inlineStr">
        <is>
          <t>Sin señal de actualización específica en el registro fuente; verificar vigencia.</t>
        </is>
      </c>
      <c r="J112" s="17" t="inlineStr">
        <is>
          <t>https://occidente.unad.edu.co/la-dorada</t>
        </is>
      </c>
      <c r="K112" s="17" t="inlineStr">
        <is>
          <t>Contacto publicado por la universidad. | Fuente: Prospectos_NeXo_La_Dorada.xlsx</t>
        </is>
      </c>
      <c r="L112" s="19">
        <f>IF($B112="","",SUBSTITUTE(INDEX(Plantillas!$B$6:$B$15,MATCH($C112,Plantillas!$A$6:$A$15,0)),"{NEGOCIO}",$B112))</f>
        <v/>
      </c>
      <c r="M112" s="18">
        <f>IF($B112="","",SUBSTITUTE(INDEX(Plantillas!$C$6:$C$15,MATCH($C112,Plantillas!$A$6:$A$15,0)),"{NEGOCIO}",$B112))</f>
        <v/>
      </c>
      <c r="N112" s="20" t="inlineStr">
        <is>
          <t>Pendiente de verificar</t>
        </is>
      </c>
      <c r="O112" s="20" t="inlineStr">
        <is>
          <t>Pendiente de revisar</t>
        </is>
      </c>
      <c r="P112" s="20" t="inlineStr">
        <is>
          <t>Pendiente de revisión</t>
        </is>
      </c>
      <c r="Q112" s="46" t="n"/>
      <c r="R112" s="20" t="n"/>
      <c r="S112" s="20" t="inlineStr">
        <is>
          <t>Pendiente</t>
        </is>
      </c>
    </row>
    <row r="113" ht="36" customHeight="1">
      <c r="A113" s="21" t="inlineStr">
        <is>
          <t>NX-109</t>
        </is>
      </c>
      <c r="B113" s="17" t="inlineStr">
        <is>
          <t>Universidad de Caldas – Sede Magdalena Centro</t>
        </is>
      </c>
      <c r="C113" s="20" t="inlineStr">
        <is>
          <t>Educación e instituciones</t>
        </is>
      </c>
      <c r="D113" s="17" t="inlineStr">
        <is>
          <t>Educación</t>
        </is>
      </c>
      <c r="E113" s="17" t="inlineStr">
        <is>
          <t>sede.dorada@ucaldas.edu.co; ceres.dorada@ucaldas.edu.co</t>
        </is>
      </c>
      <c r="F113" s="17" t="inlineStr">
        <is>
          <t>606 857 6540</t>
        </is>
      </c>
      <c r="G113" s="17" t="inlineStr">
        <is>
          <t>Guarinocito, La Dorada</t>
        </is>
      </c>
      <c r="H113" s="45" t="n">
        <v>46314</v>
      </c>
      <c r="I113" s="17" t="inlineStr">
        <is>
          <t>Sin señal de actualización específica en el registro fuente; verificar vigencia.</t>
        </is>
      </c>
      <c r="J113" s="17" t="inlineStr">
        <is>
          <t>https://www.ucaldas.edu.co/portal/contactos-equipo-directivo-y-decanos/ | https://www.ucaldas.edu.co/portal/magdalena-centro/</t>
        </is>
      </c>
      <c r="K113" s="17" t="inlineStr">
        <is>
          <t>La sede aparece en Guarinocito; confirmar correo de contacto vigente. | Fuente: Prospectos_NeXo_La_Dorada.xlsx</t>
        </is>
      </c>
      <c r="L113" s="19">
        <f>IF($B113="","",SUBSTITUTE(INDEX(Plantillas!$B$6:$B$15,MATCH($C113,Plantillas!$A$6:$A$15,0)),"{NEGOCIO}",$B113))</f>
        <v/>
      </c>
      <c r="M113" s="18">
        <f>IF($B113="","",SUBSTITUTE(INDEX(Plantillas!$C$6:$C$15,MATCH($C113,Plantillas!$A$6:$A$15,0)),"{NEGOCIO}",$B113))</f>
        <v/>
      </c>
      <c r="N113" s="20" t="inlineStr">
        <is>
          <t>Pendiente de verificar</t>
        </is>
      </c>
      <c r="O113" s="20" t="inlineStr">
        <is>
          <t>Pendiente de revisar</t>
        </is>
      </c>
      <c r="P113" s="20" t="inlineStr">
        <is>
          <t>Pendiente de revisión</t>
        </is>
      </c>
      <c r="Q113" s="46" t="n"/>
      <c r="R113" s="20" t="n"/>
      <c r="S113" s="20" t="inlineStr">
        <is>
          <t>Pendiente</t>
        </is>
      </c>
    </row>
    <row r="114" ht="36" customHeight="1">
      <c r="A114" s="21" t="inlineStr">
        <is>
          <t>NX-110</t>
        </is>
      </c>
      <c r="B114" s="17" t="inlineStr">
        <is>
          <t>I.E. Nuestra Señora del Carmen</t>
        </is>
      </c>
      <c r="C114" s="20" t="inlineStr">
        <is>
          <t>Educación e instituciones</t>
        </is>
      </c>
      <c r="D114" s="17" t="inlineStr">
        <is>
          <t>Educación</t>
        </is>
      </c>
      <c r="E114" s="17" t="inlineStr">
        <is>
          <t>ienuestrasenioradelcarmen@gmail.com</t>
        </is>
      </c>
      <c r="F114" s="17" t="inlineStr">
        <is>
          <t>320 483 4520</t>
        </is>
      </c>
      <c r="G114" s="17" t="inlineStr">
        <is>
          <t>Carrera 9 con Calle 12 #12-05</t>
        </is>
      </c>
      <c r="H114" s="45" t="n">
        <v>46314</v>
      </c>
      <c r="I114" s="17" t="inlineStr">
        <is>
          <t>Sin señal de actualización específica en el registro fuente; verificar vigencia.</t>
        </is>
      </c>
      <c r="J114" s="17" t="inlineStr">
        <is>
          <t>https://iensec.edu.co/</t>
        </is>
      </c>
      <c r="K114" s="17" t="inlineStr">
        <is>
          <t>Contacto publicado por la institución. | Fuente: Prospectos_NeXo_La_Dorada.xlsx</t>
        </is>
      </c>
      <c r="L114" s="19">
        <f>IF($B114="","",SUBSTITUTE(INDEX(Plantillas!$B$6:$B$15,MATCH($C114,Plantillas!$A$6:$A$15,0)),"{NEGOCIO}",$B114))</f>
        <v/>
      </c>
      <c r="M114" s="18">
        <f>IF($B114="","",SUBSTITUTE(INDEX(Plantillas!$C$6:$C$15,MATCH($C114,Plantillas!$A$6:$A$15,0)),"{NEGOCIO}",$B114))</f>
        <v/>
      </c>
      <c r="N114" s="20" t="inlineStr">
        <is>
          <t>Pendiente de verificar</t>
        </is>
      </c>
      <c r="O114" s="20" t="inlineStr">
        <is>
          <t>Pendiente de revisar</t>
        </is>
      </c>
      <c r="P114" s="20" t="inlineStr">
        <is>
          <t>Pendiente de revisión</t>
        </is>
      </c>
      <c r="Q114" s="46" t="n"/>
      <c r="R114" s="20" t="n"/>
      <c r="S114" s="20" t="inlineStr">
        <is>
          <t>Pendiente</t>
        </is>
      </c>
    </row>
    <row r="115" ht="36" customHeight="1">
      <c r="A115" s="21" t="inlineStr">
        <is>
          <t>NX-111</t>
        </is>
      </c>
      <c r="B115" s="17" t="inlineStr">
        <is>
          <t>Colegio Divino Niño Jesús</t>
        </is>
      </c>
      <c r="C115" s="20" t="inlineStr">
        <is>
          <t>Educación e instituciones</t>
        </is>
      </c>
      <c r="D115" s="17" t="inlineStr">
        <is>
          <t>Educación</t>
        </is>
      </c>
      <c r="E115" s="17" t="inlineStr">
        <is>
          <t>divino_31985@yahoo.com</t>
        </is>
      </c>
      <c r="F115" s="17" t="inlineStr">
        <is>
          <t>323 341 3892</t>
        </is>
      </c>
      <c r="G115" s="17" t="inlineStr">
        <is>
          <t>Carrera 4 #43-48, barrio Las Ferias</t>
        </is>
      </c>
      <c r="H115" s="45" t="n">
        <v>46314</v>
      </c>
      <c r="I115" s="17" t="inlineStr">
        <is>
          <t>Sin señal de actualización específica en el registro fuente; verificar vigencia.</t>
        </is>
      </c>
      <c r="J115" s="17" t="inlineStr">
        <is>
          <t>https://diocesisdeladorada.org/colegios-diocesanos/colegio-divino-nino-jesus/</t>
        </is>
      </c>
      <c r="K115" s="17" t="inlineStr">
        <is>
          <t>Contacto publicado por la Diócesis. | Fuente: Prospectos_NeXo_La_Dorada.xlsx</t>
        </is>
      </c>
      <c r="L115" s="19">
        <f>IF($B115="","",SUBSTITUTE(INDEX(Plantillas!$B$6:$B$15,MATCH($C115,Plantillas!$A$6:$A$15,0)),"{NEGOCIO}",$B115))</f>
        <v/>
      </c>
      <c r="M115" s="18">
        <f>IF($B115="","",SUBSTITUTE(INDEX(Plantillas!$C$6:$C$15,MATCH($C115,Plantillas!$A$6:$A$15,0)),"{NEGOCIO}",$B115))</f>
        <v/>
      </c>
      <c r="N115" s="20" t="inlineStr">
        <is>
          <t>Pendiente de verificar</t>
        </is>
      </c>
      <c r="O115" s="20" t="inlineStr">
        <is>
          <t>Pendiente de revisar</t>
        </is>
      </c>
      <c r="P115" s="20" t="inlineStr">
        <is>
          <t>Pendiente de revisión</t>
        </is>
      </c>
      <c r="Q115" s="46" t="n"/>
      <c r="R115" s="20" t="n"/>
      <c r="S115" s="20" t="inlineStr">
        <is>
          <t>Pendiente</t>
        </is>
      </c>
    </row>
    <row r="116" ht="36" customHeight="1">
      <c r="A116" s="21" t="inlineStr">
        <is>
          <t>NX-112</t>
        </is>
      </c>
      <c r="B116" s="17" t="inlineStr">
        <is>
          <t>Instituto Diocesano Nuevo Mundo</t>
        </is>
      </c>
      <c r="C116" s="20" t="inlineStr">
        <is>
          <t>Educación e instituciones</t>
        </is>
      </c>
      <c r="D116" s="17" t="inlineStr">
        <is>
          <t>Educación</t>
        </is>
      </c>
      <c r="E116" s="17" t="inlineStr">
        <is>
          <t>iednumladorada@gmail.com</t>
        </is>
      </c>
      <c r="F116" s="17" t="inlineStr">
        <is>
          <t>313 627 6797</t>
        </is>
      </c>
      <c r="G116" s="17" t="inlineStr">
        <is>
          <t>Carrera 12A #10-86</t>
        </is>
      </c>
      <c r="H116" s="45" t="n">
        <v>46314</v>
      </c>
      <c r="I116" s="17" t="inlineStr">
        <is>
          <t>Sin señal de actualización específica en el registro fuente; verificar vigencia.</t>
        </is>
      </c>
      <c r="J116" s="17" t="inlineStr">
        <is>
          <t>https://diocesisdeladorada.org/colegios-diocesanos/instituto-diocesano-nuevo-mundo/</t>
        </is>
      </c>
      <c r="K116" s="17" t="inlineStr">
        <is>
          <t>Contacto publicado por la Diócesis. | Fuente: Prospectos_NeXo_La_Dorada.xlsx</t>
        </is>
      </c>
      <c r="L116" s="19">
        <f>IF($B116="","",SUBSTITUTE(INDEX(Plantillas!$B$6:$B$15,MATCH($C116,Plantillas!$A$6:$A$15,0)),"{NEGOCIO}",$B116))</f>
        <v/>
      </c>
      <c r="M116" s="18">
        <f>IF($B116="","",SUBSTITUTE(INDEX(Plantillas!$C$6:$C$15,MATCH($C116,Plantillas!$A$6:$A$15,0)),"{NEGOCIO}",$B116))</f>
        <v/>
      </c>
      <c r="N116" s="20" t="inlineStr">
        <is>
          <t>Pendiente de verificar</t>
        </is>
      </c>
      <c r="O116" s="20" t="inlineStr">
        <is>
          <t>Pendiente de revisar</t>
        </is>
      </c>
      <c r="P116" s="20" t="inlineStr">
        <is>
          <t>Pendiente de revisión</t>
        </is>
      </c>
      <c r="Q116" s="46" t="n"/>
      <c r="R116" s="20" t="n"/>
      <c r="S116" s="20" t="inlineStr">
        <is>
          <t>Pendiente</t>
        </is>
      </c>
    </row>
    <row r="117" ht="36" customHeight="1">
      <c r="A117" s="21" t="inlineStr">
        <is>
          <t>NX-113</t>
        </is>
      </c>
      <c r="B117" s="17" t="inlineStr">
        <is>
          <t>Institución Educativa Dorada</t>
        </is>
      </c>
      <c r="C117" s="20" t="inlineStr">
        <is>
          <t>Educación e instituciones</t>
        </is>
      </c>
      <c r="D117" s="17" t="inlineStr">
        <is>
          <t>Educación</t>
        </is>
      </c>
      <c r="E117" s="17" t="n"/>
      <c r="F117" s="17" t="inlineStr">
        <is>
          <t>606 839 0917 / 606 839 0918</t>
        </is>
      </c>
      <c r="G117" s="17" t="inlineStr">
        <is>
          <t>Carrera 6 #3-81, avenida Los Estudiantes</t>
        </is>
      </c>
      <c r="H117" s="45" t="n">
        <v>46314</v>
      </c>
      <c r="I117" s="17" t="inlineStr">
        <is>
          <t>Sin señal de actualización específica en el registro fuente; verificar vigencia.</t>
        </is>
      </c>
      <c r="J117" s="17" t="inlineStr">
        <is>
          <t>https://sineb.mineducacion.gov.co/bcol/app?service=direct%2F0%2FHome%2F%24DirectLink&amp;sp=IDsede%3D45731</t>
        </is>
      </c>
      <c r="K117" s="17" t="inlineStr">
        <is>
          <t>Registro del directorio oficial SINEB; verificar canal de contacto vigente. | Fuente: Prospectos_NeXo_La_Dorada.xlsx</t>
        </is>
      </c>
      <c r="L117" s="19">
        <f>IF($B117="","",SUBSTITUTE(INDEX(Plantillas!$B$6:$B$15,MATCH($C117,Plantillas!$A$6:$A$15,0)),"{NEGOCIO}",$B117))</f>
        <v/>
      </c>
      <c r="M117" s="18">
        <f>IF($B117="","",SUBSTITUTE(INDEX(Plantillas!$C$6:$C$15,MATCH($C117,Plantillas!$A$6:$A$15,0)),"{NEGOCIO}",$B117))</f>
        <v/>
      </c>
      <c r="N117" s="20" t="inlineStr">
        <is>
          <t>Sin correo público</t>
        </is>
      </c>
      <c r="O117" s="20" t="inlineStr">
        <is>
          <t>Pendiente de revisar</t>
        </is>
      </c>
      <c r="P117" s="20" t="inlineStr">
        <is>
          <t>Pendiente de revisión</t>
        </is>
      </c>
      <c r="Q117" s="46" t="n"/>
      <c r="R117" s="20" t="n"/>
      <c r="S117" s="20" t="inlineStr">
        <is>
          <t>Pendiente</t>
        </is>
      </c>
    </row>
    <row r="118" ht="36" customHeight="1">
      <c r="A118" s="21" t="inlineStr">
        <is>
          <t>NX-114</t>
        </is>
      </c>
      <c r="B118" s="17" t="inlineStr">
        <is>
          <t>Ferretería Electroluz</t>
        </is>
      </c>
      <c r="C118" s="20" t="inlineStr">
        <is>
          <t>Empresas y servicios</t>
        </is>
      </c>
      <c r="D118" s="17" t="inlineStr">
        <is>
          <t>Comercio / ferretería</t>
        </is>
      </c>
      <c r="E118" s="17" t="n"/>
      <c r="F118" s="17" t="inlineStr">
        <is>
          <t>312 288 1095</t>
        </is>
      </c>
      <c r="G118" s="17" t="inlineStr">
        <is>
          <t>Calle 11 #7-52</t>
        </is>
      </c>
      <c r="H118" s="45" t="n">
        <v>46314</v>
      </c>
      <c r="I118" s="17" t="inlineStr">
        <is>
          <t>Sin señal de actualización específica en el registro fuente; verificar vigencia.</t>
        </is>
      </c>
      <c r="J118" s="17" t="inlineStr">
        <is>
          <t>https://www.ferreteriaelectroluz.com/</t>
        </is>
      </c>
      <c r="K118" s="17" t="inlineStr">
        <is>
          <t>Teléfono y dirección publicados en sitio del negocio. | Fuente: Prospectos_NeXo_La_Dorada.xlsx</t>
        </is>
      </c>
      <c r="L118" s="19">
        <f>IF($B118="","",SUBSTITUTE(INDEX(Plantillas!$B$6:$B$15,MATCH($C118,Plantillas!$A$6:$A$15,0)),"{NEGOCIO}",$B118))</f>
        <v/>
      </c>
      <c r="M118" s="18">
        <f>IF($B118="","",SUBSTITUTE(INDEX(Plantillas!$C$6:$C$15,MATCH($C118,Plantillas!$A$6:$A$15,0)),"{NEGOCIO}",$B118))</f>
        <v/>
      </c>
      <c r="N118" s="20" t="inlineStr">
        <is>
          <t>Sin correo público</t>
        </is>
      </c>
      <c r="O118" s="20" t="inlineStr">
        <is>
          <t>Pendiente de revisar</t>
        </is>
      </c>
      <c r="P118" s="20" t="inlineStr">
        <is>
          <t>Pendiente de revisión</t>
        </is>
      </c>
      <c r="Q118" s="46" t="n"/>
      <c r="R118" s="20" t="n"/>
      <c r="S118" s="20" t="inlineStr">
        <is>
          <t>Pendiente</t>
        </is>
      </c>
    </row>
    <row r="119" ht="36" customHeight="1">
      <c r="A119" s="21" t="inlineStr">
        <is>
          <t>NX-115</t>
        </is>
      </c>
      <c r="B119" s="17" t="inlineStr">
        <is>
          <t>El Chavo Super Tienda</t>
        </is>
      </c>
      <c r="C119" s="20" t="inlineStr">
        <is>
          <t>Alimentos, tiendas y consumo</t>
        </is>
      </c>
      <c r="D119" s="17" t="inlineStr">
        <is>
          <t>Comercio / supermercado</t>
        </is>
      </c>
      <c r="E119" s="17" t="inlineStr">
        <is>
          <t>ventas@elchavosupertienda.com</t>
        </is>
      </c>
      <c r="F119" s="17" t="inlineStr">
        <is>
          <t>310 637 0017</t>
        </is>
      </c>
      <c r="G119" s="17" t="inlineStr">
        <is>
          <t>Calle 15 #4-25, local 5</t>
        </is>
      </c>
      <c r="H119" s="45" t="n">
        <v>46314</v>
      </c>
      <c r="I119" s="17" t="inlineStr">
        <is>
          <t>Sin señal de actualización específica en el registro fuente; verificar vigencia.</t>
        </is>
      </c>
      <c r="J119" s="17" t="inlineStr">
        <is>
          <t>https://kwb.com.co/elchavo/</t>
        </is>
      </c>
      <c r="K119" s="17" t="inlineStr">
        <is>
          <t>Contacto publicado en sitio de la tienda. | Fuente: Prospectos_NeXo_La_Dorada.xlsx</t>
        </is>
      </c>
      <c r="L119" s="19">
        <f>IF($B119="","",SUBSTITUTE(INDEX(Plantillas!$B$6:$B$15,MATCH($C119,Plantillas!$A$6:$A$15,0)),"{NEGOCIO}",$B119))</f>
        <v/>
      </c>
      <c r="M119" s="18">
        <f>IF($B119="","",SUBSTITUTE(INDEX(Plantillas!$C$6:$C$15,MATCH($C119,Plantillas!$A$6:$A$15,0)),"{NEGOCIO}",$B119))</f>
        <v/>
      </c>
      <c r="N119" s="20" t="inlineStr">
        <is>
          <t>Pendiente de verificar</t>
        </is>
      </c>
      <c r="O119" s="20" t="inlineStr">
        <is>
          <t>Pendiente de revisar</t>
        </is>
      </c>
      <c r="P119" s="20" t="inlineStr">
        <is>
          <t>Pendiente de revisión</t>
        </is>
      </c>
      <c r="Q119" s="46" t="n"/>
      <c r="R119" s="20" t="n"/>
      <c r="S119" s="20" t="inlineStr">
        <is>
          <t>Pendiente</t>
        </is>
      </c>
    </row>
    <row r="120" ht="36" customHeight="1">
      <c r="A120" s="21" t="inlineStr">
        <is>
          <t>NX-116</t>
        </is>
      </c>
      <c r="B120" s="17" t="inlineStr">
        <is>
          <t>Servicentro Guarinocito Ltda</t>
        </is>
      </c>
      <c r="C120" s="20" t="inlineStr">
        <is>
          <t>Empresas y servicios</t>
        </is>
      </c>
      <c r="D120" s="17" t="inlineStr">
        <is>
          <t>Combustibles / transporte</t>
        </is>
      </c>
      <c r="E120" s="17" t="n"/>
      <c r="F120" s="17" t="inlineStr">
        <is>
          <t>311 720 9507</t>
        </is>
      </c>
      <c r="G120" s="17" t="n"/>
      <c r="H120" s="45" t="n">
        <v>46314</v>
      </c>
      <c r="I120" s="17" t="inlineStr">
        <is>
          <t>Sin señal de actualización específica en el registro fuente; verificar vigencia.</t>
        </is>
      </c>
      <c r="J120" s="17" t="inlineStr">
        <is>
          <t>https://www.informacolombia.com/directorio-empresas/localidad_la-dorada</t>
        </is>
      </c>
      <c r="K120" s="17" t="inlineStr">
        <is>
          <t>Teléfono de listado empresarial; verificar vigencia y dirección. | Fuente: Prospectos_NeXo_La_Dorada.xlsx</t>
        </is>
      </c>
      <c r="L120" s="19">
        <f>IF($B120="","",SUBSTITUTE(INDEX(Plantillas!$B$6:$B$15,MATCH($C120,Plantillas!$A$6:$A$15,0)),"{NEGOCIO}",$B120))</f>
        <v/>
      </c>
      <c r="M120" s="18">
        <f>IF($B120="","",SUBSTITUTE(INDEX(Plantillas!$C$6:$C$15,MATCH($C120,Plantillas!$A$6:$A$15,0)),"{NEGOCIO}",$B120))</f>
        <v/>
      </c>
      <c r="N120" s="20" t="inlineStr">
        <is>
          <t>Sin correo público</t>
        </is>
      </c>
      <c r="O120" s="20" t="inlineStr">
        <is>
          <t>Pendiente de revisar</t>
        </is>
      </c>
      <c r="P120" s="20" t="inlineStr">
        <is>
          <t>Pendiente de revisión</t>
        </is>
      </c>
      <c r="Q120" s="46" t="n"/>
      <c r="R120" s="20" t="n"/>
      <c r="S120" s="20" t="inlineStr">
        <is>
          <t>Pendiente</t>
        </is>
      </c>
    </row>
    <row r="121" ht="36" customHeight="1">
      <c r="A121" s="21" t="inlineStr">
        <is>
          <t>NX-117</t>
        </is>
      </c>
      <c r="B121" s="17" t="inlineStr">
        <is>
          <t>Distribuidora Vidal Ltda</t>
        </is>
      </c>
      <c r="C121" s="20" t="inlineStr">
        <is>
          <t>Empresas y servicios</t>
        </is>
      </c>
      <c r="D121" s="17" t="inlineStr">
        <is>
          <t>Comercio / distribución</t>
        </is>
      </c>
      <c r="E121" s="17" t="n"/>
      <c r="F121" s="17" t="inlineStr">
        <is>
          <t>311 202 3595</t>
        </is>
      </c>
      <c r="G121" s="17" t="n"/>
      <c r="H121" s="45" t="n">
        <v>46314</v>
      </c>
      <c r="I121" s="17" t="inlineStr">
        <is>
          <t>Sin señal de actualización específica en el registro fuente; verificar vigencia.</t>
        </is>
      </c>
      <c r="J121" s="17" t="inlineStr">
        <is>
          <t>https://www.informacolombia.com/directorio-empresas/localidad_la-dorada</t>
        </is>
      </c>
      <c r="K121" s="17" t="inlineStr">
        <is>
          <t>Comparte número con la ficha hotelera Balcones de San Diego; confirmar relación. | Fuente: Prospectos_NeXo_La_Dorada.xlsx</t>
        </is>
      </c>
      <c r="L121" s="19">
        <f>IF($B121="","",SUBSTITUTE(INDEX(Plantillas!$B$6:$B$15,MATCH($C121,Plantillas!$A$6:$A$15,0)),"{NEGOCIO}",$B121))</f>
        <v/>
      </c>
      <c r="M121" s="18">
        <f>IF($B121="","",SUBSTITUTE(INDEX(Plantillas!$C$6:$C$15,MATCH($C121,Plantillas!$A$6:$A$15,0)),"{NEGOCIO}",$B121))</f>
        <v/>
      </c>
      <c r="N121" s="20" t="inlineStr">
        <is>
          <t>Sin correo público</t>
        </is>
      </c>
      <c r="O121" s="20" t="inlineStr">
        <is>
          <t>Pendiente de revisar</t>
        </is>
      </c>
      <c r="P121" s="20" t="inlineStr">
        <is>
          <t>Pendiente de revisión</t>
        </is>
      </c>
      <c r="Q121" s="46" t="n"/>
      <c r="R121" s="20" t="n"/>
      <c r="S121" s="20" t="inlineStr">
        <is>
          <t>Pendiente</t>
        </is>
      </c>
    </row>
    <row r="122" ht="36" customHeight="1">
      <c r="A122" s="21" t="inlineStr">
        <is>
          <t>NX-118</t>
        </is>
      </c>
      <c r="B122" s="17" t="inlineStr">
        <is>
          <t>Suganado Comercializadora SAS</t>
        </is>
      </c>
      <c r="C122" s="20" t="inlineStr">
        <is>
          <t>Empresas y servicios</t>
        </is>
      </c>
      <c r="D122" s="17" t="inlineStr">
        <is>
          <t>Comercio / agro</t>
        </is>
      </c>
      <c r="E122" s="17" t="n"/>
      <c r="F122" s="17" t="inlineStr">
        <is>
          <t>314 270 1406</t>
        </is>
      </c>
      <c r="G122" s="17" t="n"/>
      <c r="H122" s="45" t="n">
        <v>46314</v>
      </c>
      <c r="I122" s="17" t="inlineStr">
        <is>
          <t>Sin señal de actualización específica en el registro fuente; verificar vigencia.</t>
        </is>
      </c>
      <c r="J122" s="17" t="inlineStr">
        <is>
          <t>https://www.informacolombia.com/directorio-empresas/localidad_la-dorada</t>
        </is>
      </c>
      <c r="K122" s="17" t="inlineStr">
        <is>
          <t>Teléfono de listado empresarial; verificar vigencia y dirección. | Fuente: Prospectos_NeXo_La_Dorada.xlsx</t>
        </is>
      </c>
      <c r="L122" s="19">
        <f>IF($B122="","",SUBSTITUTE(INDEX(Plantillas!$B$6:$B$15,MATCH($C122,Plantillas!$A$6:$A$15,0)),"{NEGOCIO}",$B122))</f>
        <v/>
      </c>
      <c r="M122" s="18">
        <f>IF($B122="","",SUBSTITUTE(INDEX(Plantillas!$C$6:$C$15,MATCH($C122,Plantillas!$A$6:$A$15,0)),"{NEGOCIO}",$B122))</f>
        <v/>
      </c>
      <c r="N122" s="20" t="inlineStr">
        <is>
          <t>Sin correo público</t>
        </is>
      </c>
      <c r="O122" s="20" t="inlineStr">
        <is>
          <t>Pendiente de revisar</t>
        </is>
      </c>
      <c r="P122" s="20" t="inlineStr">
        <is>
          <t>Pendiente de revisión</t>
        </is>
      </c>
      <c r="Q122" s="46" t="n"/>
      <c r="R122" s="20" t="n"/>
      <c r="S122" s="20" t="inlineStr">
        <is>
          <t>Pendiente</t>
        </is>
      </c>
    </row>
    <row r="123" ht="36" customHeight="1">
      <c r="A123" s="21" t="inlineStr">
        <is>
          <t>NX-119</t>
        </is>
      </c>
      <c r="B123" s="17" t="inlineStr">
        <is>
          <t>Distriheber A y G SAS</t>
        </is>
      </c>
      <c r="C123" s="20" t="inlineStr">
        <is>
          <t>Empresas y servicios</t>
        </is>
      </c>
      <c r="D123" s="17" t="inlineStr">
        <is>
          <t>Comercio / distribución</t>
        </is>
      </c>
      <c r="E123" s="17" t="n"/>
      <c r="F123" s="17" t="inlineStr">
        <is>
          <t>606 839 0401</t>
        </is>
      </c>
      <c r="G123" s="17" t="n"/>
      <c r="H123" s="45" t="n">
        <v>46314</v>
      </c>
      <c r="I123" s="17" t="inlineStr">
        <is>
          <t>Sin señal de actualización específica en el registro fuente; verificar vigencia.</t>
        </is>
      </c>
      <c r="J123" s="17" t="inlineStr">
        <is>
          <t>https://www.informacolombia.com/directorio-empresas/localidad_la-dorada</t>
        </is>
      </c>
      <c r="K123" s="17" t="inlineStr">
        <is>
          <t>Teléfono de listado empresarial; verificar vigencia y dirección. | Fuente: Prospectos_NeXo_La_Dorada.xlsx</t>
        </is>
      </c>
      <c r="L123" s="19">
        <f>IF($B123="","",SUBSTITUTE(INDEX(Plantillas!$B$6:$B$15,MATCH($C123,Plantillas!$A$6:$A$15,0)),"{NEGOCIO}",$B123))</f>
        <v/>
      </c>
      <c r="M123" s="18">
        <f>IF($B123="","",SUBSTITUTE(INDEX(Plantillas!$C$6:$C$15,MATCH($C123,Plantillas!$A$6:$A$15,0)),"{NEGOCIO}",$B123))</f>
        <v/>
      </c>
      <c r="N123" s="20" t="inlineStr">
        <is>
          <t>Sin correo público</t>
        </is>
      </c>
      <c r="O123" s="20" t="inlineStr">
        <is>
          <t>Pendiente de revisar</t>
        </is>
      </c>
      <c r="P123" s="20" t="inlineStr">
        <is>
          <t>Pendiente de revisión</t>
        </is>
      </c>
      <c r="Q123" s="46" t="n"/>
      <c r="R123" s="20" t="n"/>
      <c r="S123" s="20" t="inlineStr">
        <is>
          <t>Pendiente</t>
        </is>
      </c>
    </row>
    <row r="124" ht="36" customHeight="1">
      <c r="A124" s="21" t="inlineStr">
        <is>
          <t>NX-120</t>
        </is>
      </c>
      <c r="B124" s="17" t="inlineStr">
        <is>
          <t>Fácil Créditos SAS</t>
        </is>
      </c>
      <c r="C124" s="20" t="inlineStr">
        <is>
          <t>Empresas y servicios</t>
        </is>
      </c>
      <c r="D124" s="17" t="inlineStr">
        <is>
          <t>Finanzas</t>
        </is>
      </c>
      <c r="E124" s="17" t="n"/>
      <c r="F124" s="17" t="inlineStr">
        <is>
          <t>323 473 4032</t>
        </is>
      </c>
      <c r="G124" s="17" t="n"/>
      <c r="H124" s="45" t="n">
        <v>46314</v>
      </c>
      <c r="I124" s="17" t="inlineStr">
        <is>
          <t>Sin señal de actualización específica en el registro fuente; verificar vigencia.</t>
        </is>
      </c>
      <c r="J124" s="17" t="inlineStr">
        <is>
          <t>https://www.informacolombia.com/directorio-empresas/localidad_la-dorada</t>
        </is>
      </c>
      <c r="K124" s="17" t="inlineStr">
        <is>
          <t>Teléfono de listado empresarial; verificar vigencia y dirección. | Fuente: Prospectos_NeXo_La_Dorada.xlsx</t>
        </is>
      </c>
      <c r="L124" s="19">
        <f>IF($B124="","",SUBSTITUTE(INDEX(Plantillas!$B$6:$B$15,MATCH($C124,Plantillas!$A$6:$A$15,0)),"{NEGOCIO}",$B124))</f>
        <v/>
      </c>
      <c r="M124" s="18">
        <f>IF($B124="","",SUBSTITUTE(INDEX(Plantillas!$C$6:$C$15,MATCH($C124,Plantillas!$A$6:$A$15,0)),"{NEGOCIO}",$B124))</f>
        <v/>
      </c>
      <c r="N124" s="20" t="inlineStr">
        <is>
          <t>Sin correo público</t>
        </is>
      </c>
      <c r="O124" s="20" t="inlineStr">
        <is>
          <t>Pendiente de revisar</t>
        </is>
      </c>
      <c r="P124" s="20" t="inlineStr">
        <is>
          <t>Pendiente de revisión</t>
        </is>
      </c>
      <c r="Q124" s="46" t="n"/>
      <c r="R124" s="20" t="n"/>
      <c r="S124" s="20" t="inlineStr">
        <is>
          <t>Pendiente</t>
        </is>
      </c>
    </row>
    <row r="125" ht="36" customHeight="1">
      <c r="A125" s="21" t="inlineStr">
        <is>
          <t>NX-121</t>
        </is>
      </c>
      <c r="B125" s="17" t="inlineStr">
        <is>
          <t>Motos La Gran Parada SAS</t>
        </is>
      </c>
      <c r="C125" s="20" t="inlineStr">
        <is>
          <t>Empresas y servicios</t>
        </is>
      </c>
      <c r="D125" s="17" t="inlineStr">
        <is>
          <t>Comercio / motocicletas</t>
        </is>
      </c>
      <c r="E125" s="17" t="n"/>
      <c r="F125" s="17" t="inlineStr">
        <is>
          <t>606 837 0352</t>
        </is>
      </c>
      <c r="G125" s="17" t="n"/>
      <c r="H125" s="45" t="n">
        <v>46314</v>
      </c>
      <c r="I125" s="17" t="inlineStr">
        <is>
          <t>Sin señal de actualización específica en el registro fuente; verificar vigencia.</t>
        </is>
      </c>
      <c r="J125" s="17" t="inlineStr">
        <is>
          <t>https://www.informacolombia.com/directorio-empresas/localidad_la-dorada</t>
        </is>
      </c>
      <c r="K125" s="17" t="inlineStr">
        <is>
          <t>Teléfono de listado empresarial; verificar vigencia y dirección. | Fuente: Prospectos_NeXo_La_Dorada.xlsx</t>
        </is>
      </c>
      <c r="L125" s="19">
        <f>IF($B125="","",SUBSTITUTE(INDEX(Plantillas!$B$6:$B$15,MATCH($C125,Plantillas!$A$6:$A$15,0)),"{NEGOCIO}",$B125))</f>
        <v/>
      </c>
      <c r="M125" s="18">
        <f>IF($B125="","",SUBSTITUTE(INDEX(Plantillas!$C$6:$C$15,MATCH($C125,Plantillas!$A$6:$A$15,0)),"{NEGOCIO}",$B125))</f>
        <v/>
      </c>
      <c r="N125" s="20" t="inlineStr">
        <is>
          <t>Sin correo público</t>
        </is>
      </c>
      <c r="O125" s="20" t="inlineStr">
        <is>
          <t>Pendiente de revisar</t>
        </is>
      </c>
      <c r="P125" s="20" t="inlineStr">
        <is>
          <t>Pendiente de revisión</t>
        </is>
      </c>
      <c r="Q125" s="46" t="n"/>
      <c r="R125" s="20" t="n"/>
      <c r="S125" s="20" t="inlineStr">
        <is>
          <t>Pendiente</t>
        </is>
      </c>
    </row>
    <row r="126" ht="36" customHeight="1">
      <c r="A126" s="21" t="inlineStr">
        <is>
          <t>NX-122</t>
        </is>
      </c>
      <c r="B126" s="17" t="inlineStr">
        <is>
          <t>CDA Divecol Ltda</t>
        </is>
      </c>
      <c r="C126" s="20" t="inlineStr">
        <is>
          <t>Empresas y servicios</t>
        </is>
      </c>
      <c r="D126" s="17" t="inlineStr">
        <is>
          <t>Automotor / revisión técnico-mecánica</t>
        </is>
      </c>
      <c r="E126" s="17" t="n"/>
      <c r="F126" s="17" t="inlineStr">
        <is>
          <t>304 617 2880</t>
        </is>
      </c>
      <c r="G126" s="17" t="n"/>
      <c r="H126" s="45" t="n">
        <v>46314</v>
      </c>
      <c r="I126" s="17" t="inlineStr">
        <is>
          <t>Sin señal de actualización específica en el registro fuente; verificar vigencia.</t>
        </is>
      </c>
      <c r="J126" s="17" t="inlineStr">
        <is>
          <t>https://www.informacolombia.com/directorio-empresas/localidad_la-dorada</t>
        </is>
      </c>
      <c r="K126" s="17" t="inlineStr">
        <is>
          <t>Teléfono de listado empresarial; verificar vigencia y dirección. | Fuente: Prospectos_NeXo_La_Dorada.xlsx</t>
        </is>
      </c>
      <c r="L126" s="19">
        <f>IF($B126="","",SUBSTITUTE(INDEX(Plantillas!$B$6:$B$15,MATCH($C126,Plantillas!$A$6:$A$15,0)),"{NEGOCIO}",$B126))</f>
        <v/>
      </c>
      <c r="M126" s="18">
        <f>IF($B126="","",SUBSTITUTE(INDEX(Plantillas!$C$6:$C$15,MATCH($C126,Plantillas!$A$6:$A$15,0)),"{NEGOCIO}",$B126))</f>
        <v/>
      </c>
      <c r="N126" s="20" t="inlineStr">
        <is>
          <t>Sin correo público</t>
        </is>
      </c>
      <c r="O126" s="20" t="inlineStr">
        <is>
          <t>Pendiente de revisar</t>
        </is>
      </c>
      <c r="P126" s="20" t="inlineStr">
        <is>
          <t>Pendiente de revisión</t>
        </is>
      </c>
      <c r="Q126" s="46" t="n"/>
      <c r="R126" s="20" t="n"/>
      <c r="S126" s="20" t="inlineStr">
        <is>
          <t>Pendiente</t>
        </is>
      </c>
    </row>
    <row r="127" ht="36" customHeight="1">
      <c r="A127" s="21" t="inlineStr">
        <is>
          <t>NX-123</t>
        </is>
      </c>
      <c r="B127" s="17" t="inlineStr">
        <is>
          <t>JV Inversiones JHLV SAS</t>
        </is>
      </c>
      <c r="C127" s="20" t="inlineStr">
        <is>
          <t>Empresas y servicios</t>
        </is>
      </c>
      <c r="D127" s="17" t="inlineStr">
        <is>
          <t>Inversiones / servicios</t>
        </is>
      </c>
      <c r="E127" s="17" t="n"/>
      <c r="F127" s="17" t="inlineStr">
        <is>
          <t>313 403 5440</t>
        </is>
      </c>
      <c r="G127" s="17" t="n"/>
      <c r="H127" s="45" t="n">
        <v>46314</v>
      </c>
      <c r="I127" s="17" t="inlineStr">
        <is>
          <t>Sin señal de actualización específica en el registro fuente; verificar vigencia.</t>
        </is>
      </c>
      <c r="J127" s="17" t="inlineStr">
        <is>
          <t>https://www.informacolombia.com/directorio-empresas/localidad_la-dorada</t>
        </is>
      </c>
      <c r="K127" s="17" t="inlineStr">
        <is>
          <t>Teléfono de listado empresarial; verificar vigencia y dirección. | Fuente: Prospectos_NeXo_La_Dorada.xlsx</t>
        </is>
      </c>
      <c r="L127" s="19">
        <f>IF($B127="","",SUBSTITUTE(INDEX(Plantillas!$B$6:$B$15,MATCH($C127,Plantillas!$A$6:$A$15,0)),"{NEGOCIO}",$B127))</f>
        <v/>
      </c>
      <c r="M127" s="18">
        <f>IF($B127="","",SUBSTITUTE(INDEX(Plantillas!$C$6:$C$15,MATCH($C127,Plantillas!$A$6:$A$15,0)),"{NEGOCIO}",$B127))</f>
        <v/>
      </c>
      <c r="N127" s="20" t="inlineStr">
        <is>
          <t>Sin correo público</t>
        </is>
      </c>
      <c r="O127" s="20" t="inlineStr">
        <is>
          <t>Pendiente de revisar</t>
        </is>
      </c>
      <c r="P127" s="20" t="inlineStr">
        <is>
          <t>Pendiente de revisión</t>
        </is>
      </c>
      <c r="Q127" s="46" t="n"/>
      <c r="R127" s="20" t="n"/>
      <c r="S127" s="20" t="inlineStr">
        <is>
          <t>Pendiente</t>
        </is>
      </c>
    </row>
    <row r="128" ht="36" customHeight="1">
      <c r="A128" s="21" t="inlineStr">
        <is>
          <t>NX-124</t>
        </is>
      </c>
      <c r="B128" s="17" t="inlineStr">
        <is>
          <t>Suministros y Logística de Oriente SAS</t>
        </is>
      </c>
      <c r="C128" s="20" t="inlineStr">
        <is>
          <t>Empresas y servicios</t>
        </is>
      </c>
      <c r="D128" s="17" t="inlineStr">
        <is>
          <t>Comercio / logística</t>
        </is>
      </c>
      <c r="E128" s="17" t="n"/>
      <c r="F128" s="17" t="inlineStr">
        <is>
          <t>310 369 9499</t>
        </is>
      </c>
      <c r="G128" s="17" t="n"/>
      <c r="H128" s="45" t="n">
        <v>46314</v>
      </c>
      <c r="I128" s="17" t="inlineStr">
        <is>
          <t>Sin señal de actualización específica en el registro fuente; verificar vigencia.</t>
        </is>
      </c>
      <c r="J128" s="17" t="inlineStr">
        <is>
          <t>https://www.informacolombia.com/directorio-empresas/localidad_la-dorada</t>
        </is>
      </c>
      <c r="K128" s="17" t="inlineStr">
        <is>
          <t>Teléfono de listado empresarial; verificar vigencia y dirección. | Fuente: Prospectos_NeXo_La_Dorada.xlsx</t>
        </is>
      </c>
      <c r="L128" s="19">
        <f>IF($B128="","",SUBSTITUTE(INDEX(Plantillas!$B$6:$B$15,MATCH($C128,Plantillas!$A$6:$A$15,0)),"{NEGOCIO}",$B128))</f>
        <v/>
      </c>
      <c r="M128" s="18">
        <f>IF($B128="","",SUBSTITUTE(INDEX(Plantillas!$C$6:$C$15,MATCH($C128,Plantillas!$A$6:$A$15,0)),"{NEGOCIO}",$B128))</f>
        <v/>
      </c>
      <c r="N128" s="20" t="inlineStr">
        <is>
          <t>Sin correo público</t>
        </is>
      </c>
      <c r="O128" s="20" t="inlineStr">
        <is>
          <t>Pendiente de revisar</t>
        </is>
      </c>
      <c r="P128" s="20" t="inlineStr">
        <is>
          <t>Pendiente de revisión</t>
        </is>
      </c>
      <c r="Q128" s="46" t="n"/>
      <c r="R128" s="20" t="n"/>
      <c r="S128" s="20" t="inlineStr">
        <is>
          <t>Pendiente</t>
        </is>
      </c>
    </row>
    <row r="129" ht="36" customHeight="1">
      <c r="A129" s="21" t="inlineStr">
        <is>
          <t>NX-125</t>
        </is>
      </c>
      <c r="B129" s="17" t="inlineStr">
        <is>
          <t>Inversiones Paguemenos La Dorada SAS</t>
        </is>
      </c>
      <c r="C129" s="20" t="inlineStr">
        <is>
          <t>Empresas y servicios</t>
        </is>
      </c>
      <c r="D129" s="17" t="inlineStr">
        <is>
          <t>Comercio</t>
        </is>
      </c>
      <c r="E129" s="17" t="n"/>
      <c r="F129" s="17" t="inlineStr">
        <is>
          <t>322 361 4606</t>
        </is>
      </c>
      <c r="G129" s="17" t="n"/>
      <c r="H129" s="45" t="n">
        <v>46314</v>
      </c>
      <c r="I129" s="17" t="inlineStr">
        <is>
          <t>Sin señal de actualización específica en el registro fuente; verificar vigencia.</t>
        </is>
      </c>
      <c r="J129" s="17" t="inlineStr">
        <is>
          <t>https://www.informacolombia.com/directorio-empresas/localidad_la-dorada</t>
        </is>
      </c>
      <c r="K129" s="17" t="inlineStr">
        <is>
          <t>Teléfono de listado empresarial; verificar vigencia y dirección. | Fuente: Prospectos_NeXo_La_Dorada.xlsx</t>
        </is>
      </c>
      <c r="L129" s="19">
        <f>IF($B129="","",SUBSTITUTE(INDEX(Plantillas!$B$6:$B$15,MATCH($C129,Plantillas!$A$6:$A$15,0)),"{NEGOCIO}",$B129))</f>
        <v/>
      </c>
      <c r="M129" s="18">
        <f>IF($B129="","",SUBSTITUTE(INDEX(Plantillas!$C$6:$C$15,MATCH($C129,Plantillas!$A$6:$A$15,0)),"{NEGOCIO}",$B129))</f>
        <v/>
      </c>
      <c r="N129" s="20" t="inlineStr">
        <is>
          <t>Sin correo público</t>
        </is>
      </c>
      <c r="O129" s="20" t="inlineStr">
        <is>
          <t>Pendiente de revisar</t>
        </is>
      </c>
      <c r="P129" s="20" t="inlineStr">
        <is>
          <t>Pendiente de revisión</t>
        </is>
      </c>
      <c r="Q129" s="46" t="n"/>
      <c r="R129" s="20" t="n"/>
      <c r="S129" s="20" t="inlineStr">
        <is>
          <t>Pendiente</t>
        </is>
      </c>
    </row>
    <row r="130" ht="36" customHeight="1">
      <c r="A130" s="21" t="inlineStr">
        <is>
          <t>NX-126</t>
        </is>
      </c>
      <c r="B130" s="17" t="inlineStr">
        <is>
          <t>Hernando Jaramillo e Hijos Ltda</t>
        </is>
      </c>
      <c r="C130" s="20" t="inlineStr">
        <is>
          <t>Empresas y servicios</t>
        </is>
      </c>
      <c r="D130" s="17" t="inlineStr">
        <is>
          <t>Comercio / servicios</t>
        </is>
      </c>
      <c r="E130" s="17" t="n"/>
      <c r="F130" s="17" t="inlineStr">
        <is>
          <t>310 436 9744</t>
        </is>
      </c>
      <c r="G130" s="17" t="n"/>
      <c r="H130" s="45" t="n">
        <v>46314</v>
      </c>
      <c r="I130" s="17" t="inlineStr">
        <is>
          <t>Sin señal de actualización específica en el registro fuente; verificar vigencia.</t>
        </is>
      </c>
      <c r="J130" s="17" t="inlineStr">
        <is>
          <t>https://www.informacolombia.com/directorio-empresas/localidad_la-dorada</t>
        </is>
      </c>
      <c r="K130" s="17" t="inlineStr">
        <is>
          <t>Teléfono de listado empresarial; verificar vigencia y dirección. | Fuente: Prospectos_NeXo_La_Dorada.xlsx</t>
        </is>
      </c>
      <c r="L130" s="19">
        <f>IF($B130="","",SUBSTITUTE(INDEX(Plantillas!$B$6:$B$15,MATCH($C130,Plantillas!$A$6:$A$15,0)),"{NEGOCIO}",$B130))</f>
        <v/>
      </c>
      <c r="M130" s="18">
        <f>IF($B130="","",SUBSTITUTE(INDEX(Plantillas!$C$6:$C$15,MATCH($C130,Plantillas!$A$6:$A$15,0)),"{NEGOCIO}",$B130))</f>
        <v/>
      </c>
      <c r="N130" s="20" t="inlineStr">
        <is>
          <t>Sin correo público</t>
        </is>
      </c>
      <c r="O130" s="20" t="inlineStr">
        <is>
          <t>Pendiente de revisar</t>
        </is>
      </c>
      <c r="P130" s="20" t="inlineStr">
        <is>
          <t>Pendiente de revisión</t>
        </is>
      </c>
      <c r="Q130" s="46" t="n"/>
      <c r="R130" s="20" t="n"/>
      <c r="S130" s="20" t="inlineStr">
        <is>
          <t>Pendiente</t>
        </is>
      </c>
    </row>
    <row r="131" ht="36" customHeight="1">
      <c r="A131" s="21" t="inlineStr">
        <is>
          <t>NX-127</t>
        </is>
      </c>
      <c r="B131" s="17" t="inlineStr">
        <is>
          <t>Metromax Supermercados 4 La Dorada SAS</t>
        </is>
      </c>
      <c r="C131" s="20" t="inlineStr">
        <is>
          <t>Alimentos, tiendas y consumo</t>
        </is>
      </c>
      <c r="D131" s="17" t="inlineStr">
        <is>
          <t>Comercio / supermercado</t>
        </is>
      </c>
      <c r="E131" s="17" t="n"/>
      <c r="F131" s="17" t="inlineStr">
        <is>
          <t>313 851 7524</t>
        </is>
      </c>
      <c r="G131" s="17" t="n"/>
      <c r="H131" s="45" t="n">
        <v>46314</v>
      </c>
      <c r="I131" s="17" t="inlineStr">
        <is>
          <t>Sin señal de actualización específica en el registro fuente; verificar vigencia.</t>
        </is>
      </c>
      <c r="J131" s="17" t="inlineStr">
        <is>
          <t>https://www.informacolombia.com/directorio-empresas/localidad_la-dorada</t>
        </is>
      </c>
      <c r="K131" s="17" t="inlineStr">
        <is>
          <t>Teléfono de listado empresarial; verificar vigencia y dirección. | Fuente: Prospectos_NeXo_La_Dorada.xlsx</t>
        </is>
      </c>
      <c r="L131" s="19">
        <f>IF($B131="","",SUBSTITUTE(INDEX(Plantillas!$B$6:$B$15,MATCH($C131,Plantillas!$A$6:$A$15,0)),"{NEGOCIO}",$B131))</f>
        <v/>
      </c>
      <c r="M131" s="18">
        <f>IF($B131="","",SUBSTITUTE(INDEX(Plantillas!$C$6:$C$15,MATCH($C131,Plantillas!$A$6:$A$15,0)),"{NEGOCIO}",$B131))</f>
        <v/>
      </c>
      <c r="N131" s="20" t="inlineStr">
        <is>
          <t>Sin correo público</t>
        </is>
      </c>
      <c r="O131" s="20" t="inlineStr">
        <is>
          <t>Pendiente de revisar</t>
        </is>
      </c>
      <c r="P131" s="20" t="inlineStr">
        <is>
          <t>Pendiente de revisión</t>
        </is>
      </c>
      <c r="Q131" s="46" t="n"/>
      <c r="R131" s="20" t="n"/>
      <c r="S131" s="20" t="inlineStr">
        <is>
          <t>Pendiente</t>
        </is>
      </c>
    </row>
    <row r="132" ht="36" customHeight="1">
      <c r="A132" s="21" t="inlineStr">
        <is>
          <t>NX-128</t>
        </is>
      </c>
      <c r="B132" s="17" t="inlineStr">
        <is>
          <t>Oil Caldas SAS</t>
        </is>
      </c>
      <c r="C132" s="20" t="inlineStr">
        <is>
          <t>Empresas y servicios</t>
        </is>
      </c>
      <c r="D132" s="17" t="inlineStr">
        <is>
          <t>Combustibles / energía</t>
        </is>
      </c>
      <c r="E132" s="17" t="n"/>
      <c r="F132" s="17" t="inlineStr">
        <is>
          <t>312 205 3376</t>
        </is>
      </c>
      <c r="G132" s="17" t="n"/>
      <c r="H132" s="45" t="n">
        <v>46314</v>
      </c>
      <c r="I132" s="17" t="inlineStr">
        <is>
          <t>Sin señal de actualización específica en el registro fuente; verificar vigencia.</t>
        </is>
      </c>
      <c r="J132" s="17" t="inlineStr">
        <is>
          <t>https://www.informacolombia.com/directorio-empresas/localidad_la-dorada</t>
        </is>
      </c>
      <c r="K132" s="17" t="inlineStr">
        <is>
          <t>Teléfono de listado empresarial; verificar vigencia y dirección. | Fuente: Prospectos_NeXo_La_Dorada.xlsx</t>
        </is>
      </c>
      <c r="L132" s="19">
        <f>IF($B132="","",SUBSTITUTE(INDEX(Plantillas!$B$6:$B$15,MATCH($C132,Plantillas!$A$6:$A$15,0)),"{NEGOCIO}",$B132))</f>
        <v/>
      </c>
      <c r="M132" s="18">
        <f>IF($B132="","",SUBSTITUTE(INDEX(Plantillas!$C$6:$C$15,MATCH($C132,Plantillas!$A$6:$A$15,0)),"{NEGOCIO}",$B132))</f>
        <v/>
      </c>
      <c r="N132" s="20" t="inlineStr">
        <is>
          <t>Sin correo público</t>
        </is>
      </c>
      <c r="O132" s="20" t="inlineStr">
        <is>
          <t>Pendiente de revisar</t>
        </is>
      </c>
      <c r="P132" s="20" t="inlineStr">
        <is>
          <t>Pendiente de revisión</t>
        </is>
      </c>
      <c r="Q132" s="46" t="n"/>
      <c r="R132" s="20" t="n"/>
      <c r="S132" s="20" t="inlineStr">
        <is>
          <t>Pendiente</t>
        </is>
      </c>
    </row>
    <row r="133" ht="36" customHeight="1">
      <c r="A133" s="21" t="inlineStr">
        <is>
          <t>NX-129</t>
        </is>
      </c>
      <c r="B133" s="17" t="inlineStr">
        <is>
          <t>Distribuciones AMD SAS</t>
        </is>
      </c>
      <c r="C133" s="20" t="inlineStr">
        <is>
          <t>Empresas y servicios</t>
        </is>
      </c>
      <c r="D133" s="17" t="inlineStr">
        <is>
          <t>Comercio / distribución</t>
        </is>
      </c>
      <c r="E133" s="17" t="n"/>
      <c r="F133" s="17" t="inlineStr">
        <is>
          <t>300 798 4116</t>
        </is>
      </c>
      <c r="G133" s="17" t="n"/>
      <c r="H133" s="45" t="n">
        <v>46314</v>
      </c>
      <c r="I133" s="17" t="inlineStr">
        <is>
          <t>Sin señal de actualización específica en el registro fuente; verificar vigencia.</t>
        </is>
      </c>
      <c r="J133" s="17" t="inlineStr">
        <is>
          <t>https://www.informacolombia.com/directorio-empresas/localidad_la-dorada</t>
        </is>
      </c>
      <c r="K133" s="17" t="inlineStr">
        <is>
          <t>Teléfono de listado empresarial; verificar vigencia y dirección. | Fuente: Prospectos_NeXo_La_Dorada.xlsx</t>
        </is>
      </c>
      <c r="L133" s="19">
        <f>IF($B133="","",SUBSTITUTE(INDEX(Plantillas!$B$6:$B$15,MATCH($C133,Plantillas!$A$6:$A$15,0)),"{NEGOCIO}",$B133))</f>
        <v/>
      </c>
      <c r="M133" s="18">
        <f>IF($B133="","",SUBSTITUTE(INDEX(Plantillas!$C$6:$C$15,MATCH($C133,Plantillas!$A$6:$A$15,0)),"{NEGOCIO}",$B133))</f>
        <v/>
      </c>
      <c r="N133" s="20" t="inlineStr">
        <is>
          <t>Sin correo público</t>
        </is>
      </c>
      <c r="O133" s="20" t="inlineStr">
        <is>
          <t>Pendiente de revisar</t>
        </is>
      </c>
      <c r="P133" s="20" t="inlineStr">
        <is>
          <t>Pendiente de revisión</t>
        </is>
      </c>
      <c r="Q133" s="46" t="n"/>
      <c r="R133" s="20" t="n"/>
      <c r="S133" s="20" t="inlineStr">
        <is>
          <t>Pendiente</t>
        </is>
      </c>
    </row>
    <row r="134" ht="36" customHeight="1">
      <c r="A134" s="21" t="inlineStr">
        <is>
          <t>NX-130</t>
        </is>
      </c>
      <c r="B134" s="17" t="inlineStr">
        <is>
          <t>Constructora Incomaq Ltda</t>
        </is>
      </c>
      <c r="C134" s="20" t="inlineStr">
        <is>
          <t>Empresas y servicios</t>
        </is>
      </c>
      <c r="D134" s="17" t="inlineStr">
        <is>
          <t>Construcción</t>
        </is>
      </c>
      <c r="E134" s="17" t="n"/>
      <c r="F134" s="17" t="inlineStr">
        <is>
          <t>310 412 7777</t>
        </is>
      </c>
      <c r="G134" s="17" t="n"/>
      <c r="H134" s="45" t="n">
        <v>46314</v>
      </c>
      <c r="I134" s="17" t="inlineStr">
        <is>
          <t>Sin señal de actualización específica en el registro fuente; verificar vigencia.</t>
        </is>
      </c>
      <c r="J134" s="17" t="inlineStr">
        <is>
          <t>https://www.informacolombia.com/directorio-empresas/localidad_la-dorada</t>
        </is>
      </c>
      <c r="K134" s="17" t="inlineStr">
        <is>
          <t>Teléfono de listado empresarial; verificar vigencia y dirección. | Fuente: Prospectos_NeXo_La_Dorada.xlsx</t>
        </is>
      </c>
      <c r="L134" s="19">
        <f>IF($B134="","",SUBSTITUTE(INDEX(Plantillas!$B$6:$B$15,MATCH($C134,Plantillas!$A$6:$A$15,0)),"{NEGOCIO}",$B134))</f>
        <v/>
      </c>
      <c r="M134" s="18">
        <f>IF($B134="","",SUBSTITUTE(INDEX(Plantillas!$C$6:$C$15,MATCH($C134,Plantillas!$A$6:$A$15,0)),"{NEGOCIO}",$B134))</f>
        <v/>
      </c>
      <c r="N134" s="20" t="inlineStr">
        <is>
          <t>Sin correo público</t>
        </is>
      </c>
      <c r="O134" s="20" t="inlineStr">
        <is>
          <t>Pendiente de revisar</t>
        </is>
      </c>
      <c r="P134" s="20" t="inlineStr">
        <is>
          <t>Pendiente de revisión</t>
        </is>
      </c>
      <c r="Q134" s="46" t="n"/>
      <c r="R134" s="20" t="n"/>
      <c r="S134" s="20" t="inlineStr">
        <is>
          <t>Pendiente</t>
        </is>
      </c>
    </row>
    <row r="135" ht="36" customHeight="1">
      <c r="A135" s="21" t="inlineStr">
        <is>
          <t>NX-131</t>
        </is>
      </c>
      <c r="B135" s="17" t="inlineStr">
        <is>
          <t>La Central del Transporte HD SAS</t>
        </is>
      </c>
      <c r="C135" s="20" t="inlineStr">
        <is>
          <t>Empresas y servicios</t>
        </is>
      </c>
      <c r="D135" s="17" t="inlineStr">
        <is>
          <t>Transporte</t>
        </is>
      </c>
      <c r="E135" s="17" t="n"/>
      <c r="F135" s="17" t="inlineStr">
        <is>
          <t>314 689 5447</t>
        </is>
      </c>
      <c r="G135" s="17" t="n"/>
      <c r="H135" s="45" t="n">
        <v>46314</v>
      </c>
      <c r="I135" s="17" t="inlineStr">
        <is>
          <t>Sin señal de actualización específica en el registro fuente; verificar vigencia.</t>
        </is>
      </c>
      <c r="J135" s="17" t="inlineStr">
        <is>
          <t>https://www.informacolombia.com/directorio-empresas/localidad_la-dorada</t>
        </is>
      </c>
      <c r="K135" s="17" t="inlineStr">
        <is>
          <t>Teléfono de listado empresarial; verificar vigencia y dirección. | Fuente: Prospectos_NeXo_La_Dorada.xlsx</t>
        </is>
      </c>
      <c r="L135" s="19">
        <f>IF($B135="","",SUBSTITUTE(INDEX(Plantillas!$B$6:$B$15,MATCH($C135,Plantillas!$A$6:$A$15,0)),"{NEGOCIO}",$B135))</f>
        <v/>
      </c>
      <c r="M135" s="18">
        <f>IF($B135="","",SUBSTITUTE(INDEX(Plantillas!$C$6:$C$15,MATCH($C135,Plantillas!$A$6:$A$15,0)),"{NEGOCIO}",$B135))</f>
        <v/>
      </c>
      <c r="N135" s="20" t="inlineStr">
        <is>
          <t>Sin correo público</t>
        </is>
      </c>
      <c r="O135" s="20" t="inlineStr">
        <is>
          <t>Pendiente de revisar</t>
        </is>
      </c>
      <c r="P135" s="20" t="inlineStr">
        <is>
          <t>Pendiente de revisión</t>
        </is>
      </c>
      <c r="Q135" s="46" t="n"/>
      <c r="R135" s="20" t="n"/>
      <c r="S135" s="20" t="inlineStr">
        <is>
          <t>Pendiente</t>
        </is>
      </c>
    </row>
    <row r="136" ht="36" customHeight="1">
      <c r="A136" s="21" t="inlineStr">
        <is>
          <t>NX-132</t>
        </is>
      </c>
      <c r="B136" s="17" t="inlineStr">
        <is>
          <t>Subastas Internacionales S I SAS</t>
        </is>
      </c>
      <c r="C136" s="20" t="inlineStr">
        <is>
          <t>Empresas y servicios</t>
        </is>
      </c>
      <c r="D136" s="17" t="inlineStr">
        <is>
          <t>Comercio / subastas</t>
        </is>
      </c>
      <c r="E136" s="17" t="n"/>
      <c r="F136" s="17" t="inlineStr">
        <is>
          <t>310 770 1148</t>
        </is>
      </c>
      <c r="G136" s="17" t="n"/>
      <c r="H136" s="45" t="n">
        <v>46314</v>
      </c>
      <c r="I136" s="17" t="inlineStr">
        <is>
          <t>Sin señal de actualización específica en el registro fuente; verificar vigencia.</t>
        </is>
      </c>
      <c r="J136" s="17" t="inlineStr">
        <is>
          <t>https://www.informacolombia.com/directorio-empresas/localidad_la-dorada</t>
        </is>
      </c>
      <c r="K136" s="17" t="inlineStr">
        <is>
          <t>Teléfono de listado empresarial; verificar vigencia y dirección. | Fuente: Prospectos_NeXo_La_Dorada.xlsx</t>
        </is>
      </c>
      <c r="L136" s="19">
        <f>IF($B136="","",SUBSTITUTE(INDEX(Plantillas!$B$6:$B$15,MATCH($C136,Plantillas!$A$6:$A$15,0)),"{NEGOCIO}",$B136))</f>
        <v/>
      </c>
      <c r="M136" s="18">
        <f>IF($B136="","",SUBSTITUTE(INDEX(Plantillas!$C$6:$C$15,MATCH($C136,Plantillas!$A$6:$A$15,0)),"{NEGOCIO}",$B136))</f>
        <v/>
      </c>
      <c r="N136" s="20" t="inlineStr">
        <is>
          <t>Sin correo público</t>
        </is>
      </c>
      <c r="O136" s="20" t="inlineStr">
        <is>
          <t>Pendiente de revisar</t>
        </is>
      </c>
      <c r="P136" s="20" t="inlineStr">
        <is>
          <t>Pendiente de revisión</t>
        </is>
      </c>
      <c r="Q136" s="46" t="n"/>
      <c r="R136" s="20" t="n"/>
      <c r="S136" s="20" t="inlineStr">
        <is>
          <t>Pendiente</t>
        </is>
      </c>
    </row>
    <row r="137" ht="36" customHeight="1">
      <c r="A137" s="21" t="inlineStr">
        <is>
          <t>NX-133</t>
        </is>
      </c>
      <c r="B137" s="17" t="inlineStr">
        <is>
          <t>Inversiones Anfeduro SAS</t>
        </is>
      </c>
      <c r="C137" s="20" t="inlineStr">
        <is>
          <t>Empresas y servicios</t>
        </is>
      </c>
      <c r="D137" s="17" t="inlineStr">
        <is>
          <t>Inversiones / servicios</t>
        </is>
      </c>
      <c r="E137" s="17" t="n"/>
      <c r="F137" s="17" t="inlineStr">
        <is>
          <t>606 738 0410</t>
        </is>
      </c>
      <c r="G137" s="17" t="n"/>
      <c r="H137" s="45" t="n">
        <v>46314</v>
      </c>
      <c r="I137" s="17" t="inlineStr">
        <is>
          <t>Sin señal de actualización específica en el registro fuente; verificar vigencia.</t>
        </is>
      </c>
      <c r="J137" s="17" t="inlineStr">
        <is>
          <t>https://www.informacolombia.com/directorio-empresas/localidad_la-dorada</t>
        </is>
      </c>
      <c r="K137" s="17" t="inlineStr">
        <is>
          <t>Teléfono de listado empresarial; verificar vigencia y dirección. | Fuente: Prospectos_NeXo_La_Dorada.xlsx</t>
        </is>
      </c>
      <c r="L137" s="19">
        <f>IF($B137="","",SUBSTITUTE(INDEX(Plantillas!$B$6:$B$15,MATCH($C137,Plantillas!$A$6:$A$15,0)),"{NEGOCIO}",$B137))</f>
        <v/>
      </c>
      <c r="M137" s="18">
        <f>IF($B137="","",SUBSTITUTE(INDEX(Plantillas!$C$6:$C$15,MATCH($C137,Plantillas!$A$6:$A$15,0)),"{NEGOCIO}",$B137))</f>
        <v/>
      </c>
      <c r="N137" s="20" t="inlineStr">
        <is>
          <t>Sin correo público</t>
        </is>
      </c>
      <c r="O137" s="20" t="inlineStr">
        <is>
          <t>Pendiente de revisar</t>
        </is>
      </c>
      <c r="P137" s="20" t="inlineStr">
        <is>
          <t>Pendiente de revisión</t>
        </is>
      </c>
      <c r="Q137" s="46" t="n"/>
      <c r="R137" s="20" t="n"/>
      <c r="S137" s="20" t="inlineStr">
        <is>
          <t>Pendiente</t>
        </is>
      </c>
    </row>
    <row r="138" ht="36" customHeight="1">
      <c r="A138" s="21" t="inlineStr">
        <is>
          <t>NX-134</t>
        </is>
      </c>
      <c r="B138" s="17" t="inlineStr">
        <is>
          <t>Inver Oro SAS</t>
        </is>
      </c>
      <c r="C138" s="20" t="inlineStr">
        <is>
          <t>Empresas y servicios</t>
        </is>
      </c>
      <c r="D138" s="17" t="inlineStr">
        <is>
          <t>Comercio / oro</t>
        </is>
      </c>
      <c r="E138" s="17" t="n"/>
      <c r="F138" s="17" t="inlineStr">
        <is>
          <t>606 857 6776</t>
        </is>
      </c>
      <c r="G138" s="17" t="n"/>
      <c r="H138" s="45" t="n">
        <v>46314</v>
      </c>
      <c r="I138" s="17" t="inlineStr">
        <is>
          <t>Sin señal de actualización específica en el registro fuente; verificar vigencia.</t>
        </is>
      </c>
      <c r="J138" s="17" t="inlineStr">
        <is>
          <t>https://www.informacolombia.com/directorio-empresas/localidad_la-dorada</t>
        </is>
      </c>
      <c r="K138" s="17" t="inlineStr">
        <is>
          <t>Teléfono de listado empresarial; verificar vigencia y dirección. | Fuente: Prospectos_NeXo_La_Dorada.xlsx</t>
        </is>
      </c>
      <c r="L138" s="19">
        <f>IF($B138="","",SUBSTITUTE(INDEX(Plantillas!$B$6:$B$15,MATCH($C138,Plantillas!$A$6:$A$15,0)),"{NEGOCIO}",$B138))</f>
        <v/>
      </c>
      <c r="M138" s="18">
        <f>IF($B138="","",SUBSTITUTE(INDEX(Plantillas!$C$6:$C$15,MATCH($C138,Plantillas!$A$6:$A$15,0)),"{NEGOCIO}",$B138))</f>
        <v/>
      </c>
      <c r="N138" s="20" t="inlineStr">
        <is>
          <t>Sin correo público</t>
        </is>
      </c>
      <c r="O138" s="20" t="inlineStr">
        <is>
          <t>Pendiente de revisar</t>
        </is>
      </c>
      <c r="P138" s="20" t="inlineStr">
        <is>
          <t>Pendiente de revisión</t>
        </is>
      </c>
      <c r="Q138" s="46" t="n"/>
      <c r="R138" s="20" t="n"/>
      <c r="S138" s="20" t="inlineStr">
        <is>
          <t>Pendiente</t>
        </is>
      </c>
    </row>
    <row r="139" ht="36" customHeight="1">
      <c r="A139" s="21" t="inlineStr">
        <is>
          <t>NX-135</t>
        </is>
      </c>
      <c r="B139" s="17" t="inlineStr">
        <is>
          <t>Sociedad Alfa TV Dorada y Compañía SA</t>
        </is>
      </c>
      <c r="C139" s="20" t="inlineStr">
        <is>
          <t>Empresas y servicios</t>
        </is>
      </c>
      <c r="D139" s="17" t="inlineStr">
        <is>
          <t>Medios / telecomunicaciones</t>
        </is>
      </c>
      <c r="E139" s="17" t="n"/>
      <c r="F139" s="17" t="inlineStr">
        <is>
          <t>313 624 1587</t>
        </is>
      </c>
      <c r="G139" s="17" t="n"/>
      <c r="H139" s="45" t="n">
        <v>46314</v>
      </c>
      <c r="I139" s="17" t="inlineStr">
        <is>
          <t>Sin señal de actualización específica en el registro fuente; verificar vigencia.</t>
        </is>
      </c>
      <c r="J139" s="17" t="inlineStr">
        <is>
          <t>https://www.informacolombia.com/directorio-empresas/localidad_la-dorada</t>
        </is>
      </c>
      <c r="K139" s="17" t="inlineStr">
        <is>
          <t>Teléfono de listado empresarial; verificar vigencia y dirección. | Fuente: Prospectos_NeXo_La_Dorada.xlsx</t>
        </is>
      </c>
      <c r="L139" s="19">
        <f>IF($B139="","",SUBSTITUTE(INDEX(Plantillas!$B$6:$B$15,MATCH($C139,Plantillas!$A$6:$A$15,0)),"{NEGOCIO}",$B139))</f>
        <v/>
      </c>
      <c r="M139" s="18">
        <f>IF($B139="","",SUBSTITUTE(INDEX(Plantillas!$C$6:$C$15,MATCH($C139,Plantillas!$A$6:$A$15,0)),"{NEGOCIO}",$B139))</f>
        <v/>
      </c>
      <c r="N139" s="20" t="inlineStr">
        <is>
          <t>Sin correo público</t>
        </is>
      </c>
      <c r="O139" s="20" t="inlineStr">
        <is>
          <t>Pendiente de revisar</t>
        </is>
      </c>
      <c r="P139" s="20" t="inlineStr">
        <is>
          <t>Pendiente de revisión</t>
        </is>
      </c>
      <c r="Q139" s="46" t="n"/>
      <c r="R139" s="20" t="n"/>
      <c r="S139" s="20" t="inlineStr">
        <is>
          <t>Pendiente</t>
        </is>
      </c>
    </row>
    <row r="140" ht="36" customHeight="1">
      <c r="A140" s="21" t="inlineStr">
        <is>
          <t>NX-136</t>
        </is>
      </c>
      <c r="B140" s="17" t="inlineStr">
        <is>
          <t>Papelería Comercial</t>
        </is>
      </c>
      <c r="C140" s="20" t="inlineStr">
        <is>
          <t>Papelerías, copias e impresión</t>
        </is>
      </c>
      <c r="D140" s="17" t="inlineStr">
        <is>
          <t>Papelería / copias</t>
        </is>
      </c>
      <c r="E140" s="17" t="n"/>
      <c r="F140" s="17" t="inlineStr">
        <is>
          <t>310 521 4687</t>
        </is>
      </c>
      <c r="G140" s="17" t="inlineStr">
        <is>
          <t>Calle 14 #3-2</t>
        </is>
      </c>
      <c r="H140" s="45" t="n">
        <v>46314</v>
      </c>
      <c r="I140" s="17" t="inlineStr">
        <is>
          <t>Ficha Waze rastreada hace ~1 mes (oct. 2026); confirmar por teléfono.</t>
        </is>
      </c>
      <c r="J140" s="17" t="inlineStr">
        <is>
          <t>https://www.waze.com/live-map/directions/co/caldas/la-dorada/papeleria-comercial?to=place.ChIJD0tEeKLeQI4Rfxk_uAbJiiE</t>
        </is>
      </c>
      <c r="K140" s="17" t="inlineStr">
        <is>
          <t>Fuente: Prospectos_NeXo_La_Dorada_Ampliacion.xlsx</t>
        </is>
      </c>
      <c r="L140" s="19">
        <f>IF($B140="","",SUBSTITUTE(INDEX(Plantillas!$B$6:$B$15,MATCH($C140,Plantillas!$A$6:$A$15,0)),"{NEGOCIO}",$B140))</f>
        <v/>
      </c>
      <c r="M140" s="18">
        <f>IF($B140="","",SUBSTITUTE(INDEX(Plantillas!$C$6:$C$15,MATCH($C140,Plantillas!$A$6:$A$15,0)),"{NEGOCIO}",$B140))</f>
        <v/>
      </c>
      <c r="N140" s="20" t="inlineStr">
        <is>
          <t>Sin correo público</t>
        </is>
      </c>
      <c r="O140" s="20" t="inlineStr">
        <is>
          <t>Pendiente de revisar</t>
        </is>
      </c>
      <c r="P140" s="20" t="inlineStr">
        <is>
          <t>Pendiente de revisión</t>
        </is>
      </c>
      <c r="Q140" s="46" t="n"/>
      <c r="R140" s="20" t="n"/>
      <c r="S140" s="20" t="inlineStr">
        <is>
          <t>Pendiente</t>
        </is>
      </c>
    </row>
    <row r="141" ht="36" customHeight="1">
      <c r="A141" s="21" t="inlineStr">
        <is>
          <t>NX-137</t>
        </is>
      </c>
      <c r="B141" s="17" t="inlineStr">
        <is>
          <t>Papelería El Editor</t>
        </is>
      </c>
      <c r="C141" s="20" t="inlineStr">
        <is>
          <t>Papelerías, copias e impresión</t>
        </is>
      </c>
      <c r="D141" s="17" t="inlineStr">
        <is>
          <t>Papelería / copias</t>
        </is>
      </c>
      <c r="E141" s="17" t="n"/>
      <c r="F141" s="17" t="inlineStr">
        <is>
          <t>320 535 5911</t>
        </is>
      </c>
      <c r="G141" s="17" t="inlineStr">
        <is>
          <t>Carrera 6 #12-44</t>
        </is>
      </c>
      <c r="H141" s="45" t="n">
        <v>46314</v>
      </c>
      <c r="I141" s="17" t="inlineStr">
        <is>
          <t>Ficha Waze rastreada hace ~2 meses; confirmar vigencia.</t>
        </is>
      </c>
      <c r="J141" s="17" t="inlineStr">
        <is>
          <t>https://www.waze.com/es/live-map/directions/co/caldas/la-dorada/papeleria-el-editor?to=place.ChIJg0lQJ6LeQI4RExMDrSwMVrc</t>
        </is>
      </c>
      <c r="K141" s="17" t="inlineStr">
        <is>
          <t>Fuente: Prospectos_NeXo_La_Dorada_Ampliacion.xlsx</t>
        </is>
      </c>
      <c r="L141" s="19">
        <f>IF($B141="","",SUBSTITUTE(INDEX(Plantillas!$B$6:$B$15,MATCH($C141,Plantillas!$A$6:$A$15,0)),"{NEGOCIO}",$B141))</f>
        <v/>
      </c>
      <c r="M141" s="18">
        <f>IF($B141="","",SUBSTITUTE(INDEX(Plantillas!$C$6:$C$15,MATCH($C141,Plantillas!$A$6:$A$15,0)),"{NEGOCIO}",$B141))</f>
        <v/>
      </c>
      <c r="N141" s="20" t="inlineStr">
        <is>
          <t>Sin correo público</t>
        </is>
      </c>
      <c r="O141" s="20" t="inlineStr">
        <is>
          <t>Pendiente de revisar</t>
        </is>
      </c>
      <c r="P141" s="20" t="inlineStr">
        <is>
          <t>Pendiente de revisión</t>
        </is>
      </c>
      <c r="Q141" s="46" t="n"/>
      <c r="R141" s="20" t="n"/>
      <c r="S141" s="20" t="inlineStr">
        <is>
          <t>Pendiente</t>
        </is>
      </c>
    </row>
    <row r="142" ht="36" customHeight="1">
      <c r="A142" s="21" t="inlineStr">
        <is>
          <t>NX-138</t>
        </is>
      </c>
      <c r="B142" s="17" t="inlineStr">
        <is>
          <t>Papelería Dónde Marce</t>
        </is>
      </c>
      <c r="C142" s="20" t="inlineStr">
        <is>
          <t>Papelerías, copias e impresión</t>
        </is>
      </c>
      <c r="D142" s="17" t="inlineStr">
        <is>
          <t>Papelería / corresponsal</t>
        </is>
      </c>
      <c r="E142" s="17" t="n"/>
      <c r="F142" s="17" t="inlineStr">
        <is>
          <t>323 378 4800</t>
        </is>
      </c>
      <c r="G142" s="17" t="inlineStr">
        <is>
          <t>Carrera 5 #17-47</t>
        </is>
      </c>
      <c r="H142" s="45" t="n">
        <v>46314</v>
      </c>
      <c r="I142" s="17" t="inlineStr">
        <is>
          <t>Directorio consultado hace ~3 meses; dirección también aparece en listado de corresponsales ene. 2026.</t>
        </is>
      </c>
      <c r="J142" s="17" t="inlineStr">
        <is>
          <t>https://co.todosnegocios.com/papeler%C3%ADa-d%C3%B3nde-marce-323-378-4800 | https://www.bancoagrario.gov.co/system/files/2026-01/supergiros_0.pdf | https://www.bancoagrario.gov.co/canales-de-atencion/corresponsales</t>
        </is>
      </c>
      <c r="K142" s="17" t="inlineStr">
        <is>
          <t>Fuente: Prospectos_NeXo_La_Dorada_Ampliacion.xlsx</t>
        </is>
      </c>
      <c r="L142" s="19">
        <f>IF($B142="","",SUBSTITUTE(INDEX(Plantillas!$B$6:$B$15,MATCH($C142,Plantillas!$A$6:$A$15,0)),"{NEGOCIO}",$B142))</f>
        <v/>
      </c>
      <c r="M142" s="18">
        <f>IF($B142="","",SUBSTITUTE(INDEX(Plantillas!$C$6:$C$15,MATCH($C142,Plantillas!$A$6:$A$15,0)),"{NEGOCIO}",$B142))</f>
        <v/>
      </c>
      <c r="N142" s="20" t="inlineStr">
        <is>
          <t>Sin correo público</t>
        </is>
      </c>
      <c r="O142" s="20" t="inlineStr">
        <is>
          <t>Pendiente de revisar</t>
        </is>
      </c>
      <c r="P142" s="20" t="inlineStr">
        <is>
          <t>Pendiente de revisión</t>
        </is>
      </c>
      <c r="Q142" s="46" t="n"/>
      <c r="R142" s="20" t="n"/>
      <c r="S142" s="20" t="inlineStr">
        <is>
          <t>Pendiente</t>
        </is>
      </c>
    </row>
    <row r="143" ht="36" customHeight="1">
      <c r="A143" s="21" t="inlineStr">
        <is>
          <t>NX-139</t>
        </is>
      </c>
      <c r="B143" s="17" t="inlineStr">
        <is>
          <t>Litografía Dorada</t>
        </is>
      </c>
      <c r="C143" s="20" t="inlineStr">
        <is>
          <t>Papelerías, copias e impresión</t>
        </is>
      </c>
      <c r="D143" s="17" t="inlineStr">
        <is>
          <t>Papelería / impresión</t>
        </is>
      </c>
      <c r="E143" s="17" t="n"/>
      <c r="F143" s="17" t="inlineStr">
        <is>
          <t>606 857 2370</t>
        </is>
      </c>
      <c r="G143" s="17" t="inlineStr">
        <is>
          <t>Carrera 3 #11-82</t>
        </is>
      </c>
      <c r="H143" s="45" t="n">
        <v>46314</v>
      </c>
      <c r="I143" s="17" t="inlineStr">
        <is>
          <t>Directorios rastreados hace 4–5 meses; validar si sigue activa.</t>
        </is>
      </c>
      <c r="J143" s="17" t="inlineStr">
        <is>
          <t>https://www.nexdu.com/co/la-dorada-cal/empresa/litografia-dorada-394530 | https://www.paginasamarillas.com.co/la-dorada/servicios/papel-imprenta-y-editorial-a-domicilio</t>
        </is>
      </c>
      <c r="K143" s="17" t="inlineStr">
        <is>
          <t>Fuente: Prospectos_NeXo_La_Dorada_Ampliacion.xlsx</t>
        </is>
      </c>
      <c r="L143" s="19">
        <f>IF($B143="","",SUBSTITUTE(INDEX(Plantillas!$B$6:$B$15,MATCH($C143,Plantillas!$A$6:$A$15,0)),"{NEGOCIO}",$B143))</f>
        <v/>
      </c>
      <c r="M143" s="18">
        <f>IF($B143="","",SUBSTITUTE(INDEX(Plantillas!$C$6:$C$15,MATCH($C143,Plantillas!$A$6:$A$15,0)),"{NEGOCIO}",$B143))</f>
        <v/>
      </c>
      <c r="N143" s="20" t="inlineStr">
        <is>
          <t>Sin correo público</t>
        </is>
      </c>
      <c r="O143" s="20" t="inlineStr">
        <is>
          <t>Pendiente de revisar</t>
        </is>
      </c>
      <c r="P143" s="20" t="inlineStr">
        <is>
          <t>Pendiente de revisión</t>
        </is>
      </c>
      <c r="Q143" s="46" t="n"/>
      <c r="R143" s="20" t="n"/>
      <c r="S143" s="20" t="inlineStr">
        <is>
          <t>Pendiente</t>
        </is>
      </c>
    </row>
    <row r="144" ht="36" customHeight="1">
      <c r="A144" s="21" t="inlineStr">
        <is>
          <t>NX-140</t>
        </is>
      </c>
      <c r="B144" s="17" t="inlineStr">
        <is>
          <t>Papelería La Americana</t>
        </is>
      </c>
      <c r="C144" s="20" t="inlineStr">
        <is>
          <t>Papelerías, copias e impresión</t>
        </is>
      </c>
      <c r="D144" s="17" t="inlineStr">
        <is>
          <t>Papelería / impresión</t>
        </is>
      </c>
      <c r="E144" s="17" t="n"/>
      <c r="F144" s="17" t="inlineStr">
        <is>
          <t>606 857 8211</t>
        </is>
      </c>
      <c r="G144" s="17" t="inlineStr">
        <is>
          <t>Calle 14 #1-12</t>
        </is>
      </c>
      <c r="H144" s="45" t="n">
        <v>46314</v>
      </c>
      <c r="I144" s="17" t="inlineStr">
        <is>
          <t>Ficha de Páginas Amarillas rastreada hace ~4 meses; dato histórico en otros directorios.</t>
        </is>
      </c>
      <c r="J144" s="17" t="inlineStr">
        <is>
          <t>https://www.paginasamarillas.com.co/empresas/papeleria-la-americana/la-dorada-15441724?ad=50165522 | https://www.direccion.com.co/lugar/la-dorada/papeleria-la-americana/</t>
        </is>
      </c>
      <c r="K144" s="17" t="inlineStr">
        <is>
          <t>Fuente: Prospectos_NeXo_La_Dorada_Ampliacion.xlsx</t>
        </is>
      </c>
      <c r="L144" s="19">
        <f>IF($B144="","",SUBSTITUTE(INDEX(Plantillas!$B$6:$B$15,MATCH($C144,Plantillas!$A$6:$A$15,0)),"{NEGOCIO}",$B144))</f>
        <v/>
      </c>
      <c r="M144" s="18">
        <f>IF($B144="","",SUBSTITUTE(INDEX(Plantillas!$C$6:$C$15,MATCH($C144,Plantillas!$A$6:$A$15,0)),"{NEGOCIO}",$B144))</f>
        <v/>
      </c>
      <c r="N144" s="20" t="inlineStr">
        <is>
          <t>Sin correo público</t>
        </is>
      </c>
      <c r="O144" s="20" t="inlineStr">
        <is>
          <t>Pendiente de revisar</t>
        </is>
      </c>
      <c r="P144" s="20" t="inlineStr">
        <is>
          <t>Pendiente de revisión</t>
        </is>
      </c>
      <c r="Q144" s="46" t="n"/>
      <c r="R144" s="20" t="n"/>
      <c r="S144" s="20" t="inlineStr">
        <is>
          <t>Pendiente</t>
        </is>
      </c>
    </row>
    <row r="145" ht="36" customHeight="1">
      <c r="A145" s="21" t="inlineStr">
        <is>
          <t>NX-141</t>
        </is>
      </c>
      <c r="B145" s="17" t="inlineStr">
        <is>
          <t>Papelería Gufi</t>
        </is>
      </c>
      <c r="C145" s="20" t="inlineStr">
        <is>
          <t>Papelerías, copias e impresión</t>
        </is>
      </c>
      <c r="D145" s="17" t="inlineStr">
        <is>
          <t>Papelería / copias</t>
        </is>
      </c>
      <c r="E145" s="17" t="n"/>
      <c r="F145" s="17" t="inlineStr">
        <is>
          <t>606 839 0983</t>
        </is>
      </c>
      <c r="G145" s="17" t="inlineStr">
        <is>
          <t>Carrera 6 #5-58, Los Alpes</t>
        </is>
      </c>
      <c r="H145" s="45" t="n">
        <v>46314</v>
      </c>
      <c r="I145" s="17" t="inlineStr">
        <is>
          <t>Directorio rastreado hace ~4 meses; dirección difiere de un pin de Waze (Cra. 6 #6-34), confirmar.</t>
        </is>
      </c>
      <c r="J145" s="17" t="inlineStr">
        <is>
          <t>https://www.paginasamarillas.com.co/la-dorada/servicios/papel-imprenta-y-editorial-a-domicilio | https://www.waze.com/es/live-map/directions/co/caldas/la-dorada/papeleria-gufi?to=place.ChIJjfDCrJPfQI4RKiwotf6Aop4</t>
        </is>
      </c>
      <c r="K145" s="17" t="inlineStr">
        <is>
          <t>Fuente: Prospectos_NeXo_La_Dorada_Ampliacion.xlsx</t>
        </is>
      </c>
      <c r="L145" s="19">
        <f>IF($B145="","",SUBSTITUTE(INDEX(Plantillas!$B$6:$B$15,MATCH($C145,Plantillas!$A$6:$A$15,0)),"{NEGOCIO}",$B145))</f>
        <v/>
      </c>
      <c r="M145" s="18">
        <f>IF($B145="","",SUBSTITUTE(INDEX(Plantillas!$C$6:$C$15,MATCH($C145,Plantillas!$A$6:$A$15,0)),"{NEGOCIO}",$B145))</f>
        <v/>
      </c>
      <c r="N145" s="20" t="inlineStr">
        <is>
          <t>Sin correo público</t>
        </is>
      </c>
      <c r="O145" s="20" t="inlineStr">
        <is>
          <t>Pendiente de revisar</t>
        </is>
      </c>
      <c r="P145" s="20" t="inlineStr">
        <is>
          <t>Pendiente de revisión</t>
        </is>
      </c>
      <c r="Q145" s="46" t="n"/>
      <c r="R145" s="20" t="n"/>
      <c r="S145" s="20" t="inlineStr">
        <is>
          <t>Pendiente</t>
        </is>
      </c>
    </row>
    <row r="146" ht="36" customHeight="1">
      <c r="A146" s="21" t="inlineStr">
        <is>
          <t>NX-142</t>
        </is>
      </c>
      <c r="B146" s="17" t="inlineStr">
        <is>
          <t>Multiservicios Doble A</t>
        </is>
      </c>
      <c r="C146" s="20" t="inlineStr">
        <is>
          <t>Papelerías, copias e impresión</t>
        </is>
      </c>
      <c r="D146" s="17" t="inlineStr">
        <is>
          <t>Papelería / corresponsal / soporte técnico</t>
        </is>
      </c>
      <c r="E146" s="17" t="n"/>
      <c r="F146" s="17" t="inlineStr">
        <is>
          <t>314 681 8087</t>
        </is>
      </c>
      <c r="G146" s="17" t="inlineStr">
        <is>
          <t>Carrera 3 #13-17</t>
        </is>
      </c>
      <c r="H146" s="45" t="n">
        <v>46314</v>
      </c>
      <c r="I146" s="17" t="inlineStr">
        <is>
          <t>Página del negocio rastreada la semana de consulta (oct. 2026).</t>
        </is>
      </c>
      <c r="J146" s="17" t="inlineStr">
        <is>
          <t>https://multiservicios-doble-a.ueniweb.com/</t>
        </is>
      </c>
      <c r="K146" s="17" t="inlineStr">
        <is>
          <t>Fuente: Prospectos_NeXo_La_Dorada_Ampliacion.xlsx</t>
        </is>
      </c>
      <c r="L146" s="19">
        <f>IF($B146="","",SUBSTITUTE(INDEX(Plantillas!$B$6:$B$15,MATCH($C146,Plantillas!$A$6:$A$15,0)),"{NEGOCIO}",$B146))</f>
        <v/>
      </c>
      <c r="M146" s="18">
        <f>IF($B146="","",SUBSTITUTE(INDEX(Plantillas!$C$6:$C$15,MATCH($C146,Plantillas!$A$6:$A$15,0)),"{NEGOCIO}",$B146))</f>
        <v/>
      </c>
      <c r="N146" s="20" t="inlineStr">
        <is>
          <t>Sin correo público</t>
        </is>
      </c>
      <c r="O146" s="20" t="inlineStr">
        <is>
          <t>Pendiente de revisar</t>
        </is>
      </c>
      <c r="P146" s="20" t="inlineStr">
        <is>
          <t>Pendiente de revisión</t>
        </is>
      </c>
      <c r="Q146" s="46" t="n"/>
      <c r="R146" s="20" t="n"/>
      <c r="S146" s="20" t="inlineStr">
        <is>
          <t>Pendiente</t>
        </is>
      </c>
    </row>
    <row r="147" ht="36" customHeight="1">
      <c r="A147" s="21" t="inlineStr">
        <is>
          <t>NX-143</t>
        </is>
      </c>
      <c r="B147" s="17" t="inlineStr">
        <is>
          <t>Papelería y Accesorios Nanda Steel</t>
        </is>
      </c>
      <c r="C147" s="20" t="inlineStr">
        <is>
          <t>Papelerías, copias e impresión</t>
        </is>
      </c>
      <c r="D147" s="17" t="inlineStr">
        <is>
          <t>Papelería / corresponsal</t>
        </is>
      </c>
      <c r="E147" s="17" t="n"/>
      <c r="F147" s="17" t="n"/>
      <c r="G147" s="17" t="inlineStr">
        <is>
          <t>Centro Comercial Dorada Plaza, local N107-2</t>
        </is>
      </c>
      <c r="H147" s="45" t="n">
        <v>46314</v>
      </c>
      <c r="I147" s="17" t="inlineStr">
        <is>
          <t>Ficha de Vía Baloto rastreada hace ~1 semana; no publica teléfono.</t>
        </is>
      </c>
      <c r="J147" s="17" t="inlineStr">
        <is>
          <t>https://libreroonline.com/via-baloto/caldas/la-dorada/5558/papeleria-y-accesorios-nanda-steel/</t>
        </is>
      </c>
      <c r="K147" s="17" t="inlineStr">
        <is>
          <t>Fuente: Prospectos_NeXo_La_Dorada_Ampliacion.xlsx</t>
        </is>
      </c>
      <c r="L147" s="19">
        <f>IF($B147="","",SUBSTITUTE(INDEX(Plantillas!$B$6:$B$15,MATCH($C147,Plantillas!$A$6:$A$15,0)),"{NEGOCIO}",$B147))</f>
        <v/>
      </c>
      <c r="M147" s="18">
        <f>IF($B147="","",SUBSTITUTE(INDEX(Plantillas!$C$6:$C$15,MATCH($C147,Plantillas!$A$6:$A$15,0)),"{NEGOCIO}",$B147))</f>
        <v/>
      </c>
      <c r="N147" s="20" t="inlineStr">
        <is>
          <t>Sin correo público</t>
        </is>
      </c>
      <c r="O147" s="20" t="inlineStr">
        <is>
          <t>Pendiente de revisar</t>
        </is>
      </c>
      <c r="P147" s="20" t="inlineStr">
        <is>
          <t>Pendiente de revisión</t>
        </is>
      </c>
      <c r="Q147" s="46" t="n"/>
      <c r="R147" s="20" t="n"/>
      <c r="S147" s="20" t="inlineStr">
        <is>
          <t>Pendiente</t>
        </is>
      </c>
    </row>
    <row r="148" ht="36" customHeight="1">
      <c r="A148" s="21" t="inlineStr">
        <is>
          <t>NX-144</t>
        </is>
      </c>
      <c r="B148" s="17" t="inlineStr">
        <is>
          <t>Tienda Cristiana Luz y Verdad</t>
        </is>
      </c>
      <c r="C148" s="20" t="inlineStr">
        <is>
          <t>Papelerías, copias e impresión</t>
        </is>
      </c>
      <c r="D148" s="17" t="inlineStr">
        <is>
          <t>Librería / papelería</t>
        </is>
      </c>
      <c r="E148" s="17" t="n"/>
      <c r="F148" s="17" t="inlineStr">
        <is>
          <t>606 857 0821 / 314 789 7012 / 314 695 5998</t>
        </is>
      </c>
      <c r="G148" s="17" t="inlineStr">
        <is>
          <t>Calle 15 #4-30, C.C. Dorada Plaza, local S106-4</t>
        </is>
      </c>
      <c r="H148" s="45" t="n">
        <v>46314</v>
      </c>
      <c r="I148" s="17" t="inlineStr">
        <is>
          <t>Ficha rastreada hace ~1 mes; directorio de terceros.</t>
        </is>
      </c>
      <c r="J148" s="17" t="inlineStr">
        <is>
          <t>https://www.aiyellow.com/tienda-cristiana-dorada-caldas/</t>
        </is>
      </c>
      <c r="K148" s="17" t="inlineStr">
        <is>
          <t>Fuente: Prospectos_NeXo_La_Dorada_Ampliacion.xlsx</t>
        </is>
      </c>
      <c r="L148" s="19">
        <f>IF($B148="","",SUBSTITUTE(INDEX(Plantillas!$B$6:$B$15,MATCH($C148,Plantillas!$A$6:$A$15,0)),"{NEGOCIO}",$B148))</f>
        <v/>
      </c>
      <c r="M148" s="18">
        <f>IF($B148="","",SUBSTITUTE(INDEX(Plantillas!$C$6:$C$15,MATCH($C148,Plantillas!$A$6:$A$15,0)),"{NEGOCIO}",$B148))</f>
        <v/>
      </c>
      <c r="N148" s="20" t="inlineStr">
        <is>
          <t>Sin correo público</t>
        </is>
      </c>
      <c r="O148" s="20" t="inlineStr">
        <is>
          <t>Pendiente de revisar</t>
        </is>
      </c>
      <c r="P148" s="20" t="inlineStr">
        <is>
          <t>Pendiente de revisión</t>
        </is>
      </c>
      <c r="Q148" s="46" t="n"/>
      <c r="R148" s="20" t="n"/>
      <c r="S148" s="20" t="inlineStr">
        <is>
          <t>Pendiente</t>
        </is>
      </c>
    </row>
    <row r="149" ht="36" customHeight="1">
      <c r="A149" s="21" t="inlineStr">
        <is>
          <t>NX-145</t>
        </is>
      </c>
      <c r="B149" s="17" t="inlineStr">
        <is>
          <t>LR Soluciones Group SAS</t>
        </is>
      </c>
      <c r="C149" s="20" t="inlineStr">
        <is>
          <t>Papelerías, copias e impresión</t>
        </is>
      </c>
      <c r="D149" s="17" t="inlineStr">
        <is>
          <t>Papelería / artículos de oficina</t>
        </is>
      </c>
      <c r="E149" s="17" t="n"/>
      <c r="F149" s="17" t="inlineStr">
        <is>
          <t>310 734 3903</t>
        </is>
      </c>
      <c r="G149" s="17" t="inlineStr">
        <is>
          <t>Carrera 2B #46A-03</t>
        </is>
      </c>
      <c r="H149" s="45" t="n">
        <v>46314</v>
      </c>
      <c r="I149" s="17" t="inlineStr">
        <is>
          <t>Directorio empresarial rastreado hace ~3 meses; verificar local y teléfono.</t>
        </is>
      </c>
      <c r="J149" s="17" t="inlineStr">
        <is>
          <t>https://www.informacion-empresas.co/Empresa_BGM-SOLUCIONES-INTEGRALES-SAS.html</t>
        </is>
      </c>
      <c r="K149" s="17" t="inlineStr">
        <is>
          <t>Fuente: Prospectos_NeXo_La_Dorada_Ampliacion.xlsx</t>
        </is>
      </c>
      <c r="L149" s="19">
        <f>IF($B149="","",SUBSTITUTE(INDEX(Plantillas!$B$6:$B$15,MATCH($C149,Plantillas!$A$6:$A$15,0)),"{NEGOCIO}",$B149))</f>
        <v/>
      </c>
      <c r="M149" s="18">
        <f>IF($B149="","",SUBSTITUTE(INDEX(Plantillas!$C$6:$C$15,MATCH($C149,Plantillas!$A$6:$A$15,0)),"{NEGOCIO}",$B149))</f>
        <v/>
      </c>
      <c r="N149" s="20" t="inlineStr">
        <is>
          <t>Sin correo público</t>
        </is>
      </c>
      <c r="O149" s="20" t="inlineStr">
        <is>
          <t>Pendiente de revisar</t>
        </is>
      </c>
      <c r="P149" s="20" t="inlineStr">
        <is>
          <t>Pendiente de revisión</t>
        </is>
      </c>
      <c r="Q149" s="46" t="n"/>
      <c r="R149" s="20" t="n"/>
      <c r="S149" s="20" t="inlineStr">
        <is>
          <t>Pendiente</t>
        </is>
      </c>
    </row>
    <row r="150" ht="36" customHeight="1">
      <c r="A150" s="21" t="inlineStr">
        <is>
          <t>NX-146</t>
        </is>
      </c>
      <c r="B150" s="17" t="inlineStr">
        <is>
          <t>Papelería y Miscelánea Manolo</t>
        </is>
      </c>
      <c r="C150" s="20" t="inlineStr">
        <is>
          <t>Papelerías, copias e impresión</t>
        </is>
      </c>
      <c r="D150" s="17" t="inlineStr">
        <is>
          <t>Papelería / corresponsal</t>
        </is>
      </c>
      <c r="E150" s="17" t="n"/>
      <c r="F150" s="17" t="n"/>
      <c r="G150" s="17" t="inlineStr">
        <is>
          <t>Calle 50A #0-24, manzana 4</t>
        </is>
      </c>
      <c r="H150" s="45" t="n">
        <v>46314</v>
      </c>
      <c r="I150" s="17" t="inlineStr">
        <is>
          <t>Listado de corresponsales Banco Agrario, ene. 2026; sin teléfono.</t>
        </is>
      </c>
      <c r="J150" s="17" t="inlineStr">
        <is>
          <t>https://www.bancoagrario.gov.co/system/files/2026-01/supergiros_0.pdf</t>
        </is>
      </c>
      <c r="K150" s="17" t="inlineStr">
        <is>
          <t>Fuente: Prospectos_NeXo_La_Dorada_Ampliacion.xlsx</t>
        </is>
      </c>
      <c r="L150" s="19">
        <f>IF($B150="","",SUBSTITUTE(INDEX(Plantillas!$B$6:$B$15,MATCH($C150,Plantillas!$A$6:$A$15,0)),"{NEGOCIO}",$B150))</f>
        <v/>
      </c>
      <c r="M150" s="18">
        <f>IF($B150="","",SUBSTITUTE(INDEX(Plantillas!$C$6:$C$15,MATCH($C150,Plantillas!$A$6:$A$15,0)),"{NEGOCIO}",$B150))</f>
        <v/>
      </c>
      <c r="N150" s="20" t="inlineStr">
        <is>
          <t>Sin correo público</t>
        </is>
      </c>
      <c r="O150" s="20" t="inlineStr">
        <is>
          <t>Pendiente de revisar</t>
        </is>
      </c>
      <c r="P150" s="20" t="inlineStr">
        <is>
          <t>Pendiente de revisión</t>
        </is>
      </c>
      <c r="Q150" s="46" t="n"/>
      <c r="R150" s="20" t="n"/>
      <c r="S150" s="20" t="inlineStr">
        <is>
          <t>Pendiente</t>
        </is>
      </c>
    </row>
    <row r="151" ht="36" customHeight="1">
      <c r="A151" s="21" t="inlineStr">
        <is>
          <t>NX-147</t>
        </is>
      </c>
      <c r="B151" s="17" t="inlineStr">
        <is>
          <t>Papelería y Variedades DYL</t>
        </is>
      </c>
      <c r="C151" s="20" t="inlineStr">
        <is>
          <t>Papelerías, copias e impresión</t>
        </is>
      </c>
      <c r="D151" s="17" t="inlineStr">
        <is>
          <t>Papelería / corresponsal</t>
        </is>
      </c>
      <c r="E151" s="17" t="n"/>
      <c r="F151" s="17" t="n"/>
      <c r="G151" s="17" t="inlineStr">
        <is>
          <t>Kilómetro 22</t>
        </is>
      </c>
      <c r="H151" s="45" t="n">
        <v>46314</v>
      </c>
      <c r="I151" s="17" t="inlineStr">
        <is>
          <t>Listado de corresponsales Banco Agrario, ene. 2026; dirección rural/sectorial, confirmar ubicación exacta.</t>
        </is>
      </c>
      <c r="J151" s="17" t="inlineStr">
        <is>
          <t>https://www.bancoagrario.gov.co/system/files/2026-01/supergiros_0.pdf</t>
        </is>
      </c>
      <c r="K151" s="17" t="inlineStr">
        <is>
          <t>Fuente: Prospectos_NeXo_La_Dorada_Ampliacion.xlsx</t>
        </is>
      </c>
      <c r="L151" s="19">
        <f>IF($B151="","",SUBSTITUTE(INDEX(Plantillas!$B$6:$B$15,MATCH($C151,Plantillas!$A$6:$A$15,0)),"{NEGOCIO}",$B151))</f>
        <v/>
      </c>
      <c r="M151" s="18">
        <f>IF($B151="","",SUBSTITUTE(INDEX(Plantillas!$C$6:$C$15,MATCH($C151,Plantillas!$A$6:$A$15,0)),"{NEGOCIO}",$B151))</f>
        <v/>
      </c>
      <c r="N151" s="20" t="inlineStr">
        <is>
          <t>Sin correo público</t>
        </is>
      </c>
      <c r="O151" s="20" t="inlineStr">
        <is>
          <t>Pendiente de revisar</t>
        </is>
      </c>
      <c r="P151" s="20" t="inlineStr">
        <is>
          <t>Pendiente de revisión</t>
        </is>
      </c>
      <c r="Q151" s="46" t="n"/>
      <c r="R151" s="20" t="n"/>
      <c r="S151" s="20" t="inlineStr">
        <is>
          <t>Pendiente</t>
        </is>
      </c>
    </row>
    <row r="152" ht="36" customHeight="1">
      <c r="A152" s="21" t="inlineStr">
        <is>
          <t>NX-148</t>
        </is>
      </c>
      <c r="B152" s="17" t="inlineStr">
        <is>
          <t>Papelería Creativa MYM</t>
        </is>
      </c>
      <c r="C152" s="20" t="inlineStr">
        <is>
          <t>Papelerías, copias e impresión</t>
        </is>
      </c>
      <c r="D152" s="17" t="inlineStr">
        <is>
          <t>Papelería / corresponsal</t>
        </is>
      </c>
      <c r="E152" s="17" t="n"/>
      <c r="F152" s="17" t="n"/>
      <c r="G152" s="17" t="inlineStr">
        <is>
          <t>Carrera 11B #48-30</t>
        </is>
      </c>
      <c r="H152" s="45" t="n">
        <v>46314</v>
      </c>
      <c r="I152" s="17" t="inlineStr">
        <is>
          <t>Listado de puntos Bancamía/Supergiros, sep. 2025; sin teléfono.</t>
        </is>
      </c>
      <c r="J152" s="17" t="inlineStr">
        <is>
          <t>https://www.bancamia.com.co/wp-content/uploads/2025/09/PLANTILLA-PUNTOS-SUPERGIROS.pdf</t>
        </is>
      </c>
      <c r="K152" s="17" t="inlineStr">
        <is>
          <t>Fuente: Prospectos_NeXo_La_Dorada_Ampliacion.xlsx</t>
        </is>
      </c>
      <c r="L152" s="19">
        <f>IF($B152="","",SUBSTITUTE(INDEX(Plantillas!$B$6:$B$15,MATCH($C152,Plantillas!$A$6:$A$15,0)),"{NEGOCIO}",$B152))</f>
        <v/>
      </c>
      <c r="M152" s="18">
        <f>IF($B152="","",SUBSTITUTE(INDEX(Plantillas!$C$6:$C$15,MATCH($C152,Plantillas!$A$6:$A$15,0)),"{NEGOCIO}",$B152))</f>
        <v/>
      </c>
      <c r="N152" s="20" t="inlineStr">
        <is>
          <t>Sin correo público</t>
        </is>
      </c>
      <c r="O152" s="20" t="inlineStr">
        <is>
          <t>Pendiente de revisar</t>
        </is>
      </c>
      <c r="P152" s="20" t="inlineStr">
        <is>
          <t>Pendiente de revisión</t>
        </is>
      </c>
      <c r="Q152" s="46" t="n"/>
      <c r="R152" s="20" t="n"/>
      <c r="S152" s="20" t="inlineStr">
        <is>
          <t>Pendiente</t>
        </is>
      </c>
    </row>
    <row r="153" ht="36" customHeight="1">
      <c r="A153" s="21" t="inlineStr">
        <is>
          <t>NX-149</t>
        </is>
      </c>
      <c r="B153" s="17" t="inlineStr">
        <is>
          <t>Papernet Guarino</t>
        </is>
      </c>
      <c r="C153" s="20" t="inlineStr">
        <is>
          <t>Papelerías, copias e impresión</t>
        </is>
      </c>
      <c r="D153" s="17" t="inlineStr">
        <is>
          <t>Papelería / corresponsal</t>
        </is>
      </c>
      <c r="E153" s="17" t="n"/>
      <c r="F153" s="17" t="n"/>
      <c r="G153" s="17" t="inlineStr">
        <is>
          <t>Carrera 6 #5-57</t>
        </is>
      </c>
      <c r="H153" s="45" t="n">
        <v>46314</v>
      </c>
      <c r="I153" s="17" t="inlineStr">
        <is>
          <t>Listado de puntos Bancamía/Supergiros, sep. 2025; sin teléfono.</t>
        </is>
      </c>
      <c r="J153" s="17" t="inlineStr">
        <is>
          <t>https://www.bancamia.com.co/wp-content/uploads/2025/09/PLANTILLA-PUNTOS-SUPERGIROS.pdf</t>
        </is>
      </c>
      <c r="K153" s="17" t="inlineStr">
        <is>
          <t>Fuente: Prospectos_NeXo_La_Dorada_Ampliacion.xlsx</t>
        </is>
      </c>
      <c r="L153" s="19">
        <f>IF($B153="","",SUBSTITUTE(INDEX(Plantillas!$B$6:$B$15,MATCH($C153,Plantillas!$A$6:$A$15,0)),"{NEGOCIO}",$B153))</f>
        <v/>
      </c>
      <c r="M153" s="18">
        <f>IF($B153="","",SUBSTITUTE(INDEX(Plantillas!$C$6:$C$15,MATCH($C153,Plantillas!$A$6:$A$15,0)),"{NEGOCIO}",$B153))</f>
        <v/>
      </c>
      <c r="N153" s="20" t="inlineStr">
        <is>
          <t>Sin correo público</t>
        </is>
      </c>
      <c r="O153" s="20" t="inlineStr">
        <is>
          <t>Pendiente de revisar</t>
        </is>
      </c>
      <c r="P153" s="20" t="inlineStr">
        <is>
          <t>Pendiente de revisión</t>
        </is>
      </c>
      <c r="Q153" s="46" t="n"/>
      <c r="R153" s="20" t="n"/>
      <c r="S153" s="20" t="inlineStr">
        <is>
          <t>Pendiente</t>
        </is>
      </c>
    </row>
    <row r="154" ht="36" customHeight="1">
      <c r="A154" s="21" t="inlineStr">
        <is>
          <t>NX-150</t>
        </is>
      </c>
      <c r="B154" s="17" t="inlineStr">
        <is>
          <t>Ciber Color Publicidad</t>
        </is>
      </c>
      <c r="C154" s="20" t="inlineStr">
        <is>
          <t>Papelerías, copias e impresión</t>
        </is>
      </c>
      <c r="D154" s="17" t="inlineStr">
        <is>
          <t>Impresión / publicidad</t>
        </is>
      </c>
      <c r="E154" s="17" t="n"/>
      <c r="F154" s="17" t="inlineStr">
        <is>
          <t>314 512 7973</t>
        </is>
      </c>
      <c r="G154" s="17" t="inlineStr">
        <is>
          <t>Carrera 2B #34-37</t>
        </is>
      </c>
      <c r="H154" s="45" t="n">
        <v>46314</v>
      </c>
      <c r="I154" s="17" t="inlineStr">
        <is>
          <t>Página del negocio rastreada hace ~1 mes (oct. 2026).</t>
        </is>
      </c>
      <c r="J154" s="17" t="inlineStr">
        <is>
          <t>https://ciber-color-publicidad.ueniweb.com/about-us/nuestro-equipo-5806336</t>
        </is>
      </c>
      <c r="K154" s="17" t="inlineStr">
        <is>
          <t>Fuente: Prospectos_NeXo_La_Dorada_Ampliacion.xlsx</t>
        </is>
      </c>
      <c r="L154" s="19">
        <f>IF($B154="","",SUBSTITUTE(INDEX(Plantillas!$B$6:$B$15,MATCH($C154,Plantillas!$A$6:$A$15,0)),"{NEGOCIO}",$B154))</f>
        <v/>
      </c>
      <c r="M154" s="18">
        <f>IF($B154="","",SUBSTITUTE(INDEX(Plantillas!$C$6:$C$15,MATCH($C154,Plantillas!$A$6:$A$15,0)),"{NEGOCIO}",$B154))</f>
        <v/>
      </c>
      <c r="N154" s="20" t="inlineStr">
        <is>
          <t>Sin correo público</t>
        </is>
      </c>
      <c r="O154" s="20" t="inlineStr">
        <is>
          <t>Pendiente de revisar</t>
        </is>
      </c>
      <c r="P154" s="20" t="inlineStr">
        <is>
          <t>Pendiente de revisión</t>
        </is>
      </c>
      <c r="Q154" s="46" t="n"/>
      <c r="R154" s="20" t="n"/>
      <c r="S154" s="20" t="inlineStr">
        <is>
          <t>Pendiente</t>
        </is>
      </c>
    </row>
    <row r="155" ht="36" customHeight="1">
      <c r="A155" s="21" t="inlineStr">
        <is>
          <t>NX-151</t>
        </is>
      </c>
      <c r="B155" s="17" t="inlineStr">
        <is>
          <t>Creaciones María José</t>
        </is>
      </c>
      <c r="C155" s="20" t="inlineStr">
        <is>
          <t>Comercios y corresponsales</t>
        </is>
      </c>
      <c r="D155" s="17" t="inlineStr">
        <is>
          <t>Comercio / corresponsal</t>
        </is>
      </c>
      <c r="E155" s="17" t="n"/>
      <c r="F155" s="17" t="n"/>
      <c r="G155" s="17" t="inlineStr">
        <is>
          <t>Calle 44 #8-02</t>
        </is>
      </c>
      <c r="H155" s="45" t="n">
        <v>46314</v>
      </c>
      <c r="I155" s="17" t="inlineStr">
        <is>
          <t>Bancamía/Supergiros, sep. 2025; el listado no trae teléfono. Confirmar que el punto siga activo.</t>
        </is>
      </c>
      <c r="J155" s="17" t="inlineStr">
        <is>
          <t>https://www.bancamia.com.co/wp-content/uploads/2025/09/PLANTILLA-PUNTOS-SUPERGIROS.pdf</t>
        </is>
      </c>
      <c r="K155" s="17" t="inlineStr">
        <is>
          <t>Fuente: Prospectos_NeXo_La_Dorada_Ampliacion.xlsx</t>
        </is>
      </c>
      <c r="L155" s="19">
        <f>IF($B155="","",SUBSTITUTE(INDEX(Plantillas!$B$6:$B$15,MATCH($C155,Plantillas!$A$6:$A$15,0)),"{NEGOCIO}",$B155))</f>
        <v/>
      </c>
      <c r="M155" s="18">
        <f>IF($B155="","",SUBSTITUTE(INDEX(Plantillas!$C$6:$C$15,MATCH($C155,Plantillas!$A$6:$A$15,0)),"{NEGOCIO}",$B155))</f>
        <v/>
      </c>
      <c r="N155" s="20" t="inlineStr">
        <is>
          <t>Sin correo público</t>
        </is>
      </c>
      <c r="O155" s="20" t="inlineStr">
        <is>
          <t>Pendiente de revisar</t>
        </is>
      </c>
      <c r="P155" s="20" t="inlineStr">
        <is>
          <t>Pendiente de revisión</t>
        </is>
      </c>
      <c r="Q155" s="46" t="n"/>
      <c r="R155" s="20" t="n"/>
      <c r="S155" s="20" t="inlineStr">
        <is>
          <t>Pendiente</t>
        </is>
      </c>
    </row>
    <row r="156" ht="36" customHeight="1">
      <c r="A156" s="21" t="inlineStr">
        <is>
          <t>NX-152</t>
        </is>
      </c>
      <c r="B156" s="17" t="inlineStr">
        <is>
          <t>Miscelánea Nicol</t>
        </is>
      </c>
      <c r="C156" s="20" t="inlineStr">
        <is>
          <t>Comercios y corresponsales</t>
        </is>
      </c>
      <c r="D156" s="17" t="inlineStr">
        <is>
          <t>Miscelánea / corresponsal</t>
        </is>
      </c>
      <c r="E156" s="17" t="n"/>
      <c r="F156" s="17" t="n"/>
      <c r="G156" s="17" t="inlineStr">
        <is>
          <t>Calle 36 #2-26</t>
        </is>
      </c>
      <c r="H156" s="45" t="n">
        <v>46314</v>
      </c>
      <c r="I156" s="17" t="inlineStr">
        <is>
          <t>Banco Agrario, ene. 2026; el listado no trae teléfono. Confirmar que el punto siga activo.</t>
        </is>
      </c>
      <c r="J156" s="17" t="inlineStr">
        <is>
          <t>https://www.bancoagrario.gov.co/system/files/2026-01/supergiros_0.pdf | https://www.bancoagrario.gov.co/canales-de-atencion/corresponsales</t>
        </is>
      </c>
      <c r="K156" s="17" t="inlineStr">
        <is>
          <t>Fuente: Prospectos_NeXo_La_Dorada_Ampliacion.xlsx</t>
        </is>
      </c>
      <c r="L156" s="19">
        <f>IF($B156="","",SUBSTITUTE(INDEX(Plantillas!$B$6:$B$15,MATCH($C156,Plantillas!$A$6:$A$15,0)),"{NEGOCIO}",$B156))</f>
        <v/>
      </c>
      <c r="M156" s="18">
        <f>IF($B156="","",SUBSTITUTE(INDEX(Plantillas!$C$6:$C$15,MATCH($C156,Plantillas!$A$6:$A$15,0)),"{NEGOCIO}",$B156))</f>
        <v/>
      </c>
      <c r="N156" s="20" t="inlineStr">
        <is>
          <t>Sin correo público</t>
        </is>
      </c>
      <c r="O156" s="20" t="inlineStr">
        <is>
          <t>Pendiente de revisar</t>
        </is>
      </c>
      <c r="P156" s="20" t="inlineStr">
        <is>
          <t>Pendiente de revisión</t>
        </is>
      </c>
      <c r="Q156" s="46" t="n"/>
      <c r="R156" s="20" t="n"/>
      <c r="S156" s="20" t="inlineStr">
        <is>
          <t>Pendiente</t>
        </is>
      </c>
    </row>
    <row r="157" ht="36" customHeight="1">
      <c r="A157" s="21" t="inlineStr">
        <is>
          <t>NX-153</t>
        </is>
      </c>
      <c r="B157" s="17" t="inlineStr">
        <is>
          <t>Tienda L y L</t>
        </is>
      </c>
      <c r="C157" s="20" t="inlineStr">
        <is>
          <t>Comercios y corresponsales</t>
        </is>
      </c>
      <c r="D157" s="17" t="inlineStr">
        <is>
          <t>Tienda / corresponsal</t>
        </is>
      </c>
      <c r="E157" s="17" t="n"/>
      <c r="F157" s="17" t="n"/>
      <c r="G157" s="17" t="inlineStr">
        <is>
          <t>Calle 42 #8-67</t>
        </is>
      </c>
      <c r="H157" s="45" t="n">
        <v>46314</v>
      </c>
      <c r="I157" s="17" t="inlineStr">
        <is>
          <t>Banco Agrario, ene. 2026; el listado no trae teléfono. Confirmar que el punto siga activo.</t>
        </is>
      </c>
      <c r="J157" s="17" t="inlineStr">
        <is>
          <t>https://www.bancoagrario.gov.co/system/files/2026-01/supergiros_0.pdf | https://www.bancoagrario.gov.co/canales-de-atencion/corresponsales</t>
        </is>
      </c>
      <c r="K157" s="17" t="inlineStr">
        <is>
          <t>Fuente: Prospectos_NeXo_La_Dorada_Ampliacion.xlsx</t>
        </is>
      </c>
      <c r="L157" s="19">
        <f>IF($B157="","",SUBSTITUTE(INDEX(Plantillas!$B$6:$B$15,MATCH($C157,Plantillas!$A$6:$A$15,0)),"{NEGOCIO}",$B157))</f>
        <v/>
      </c>
      <c r="M157" s="18">
        <f>IF($B157="","",SUBSTITUTE(INDEX(Plantillas!$C$6:$C$15,MATCH($C157,Plantillas!$A$6:$A$15,0)),"{NEGOCIO}",$B157))</f>
        <v/>
      </c>
      <c r="N157" s="20" t="inlineStr">
        <is>
          <t>Sin correo público</t>
        </is>
      </c>
      <c r="O157" s="20" t="inlineStr">
        <is>
          <t>Pendiente de revisar</t>
        </is>
      </c>
      <c r="P157" s="20" t="inlineStr">
        <is>
          <t>Pendiente de revisión</t>
        </is>
      </c>
      <c r="Q157" s="46" t="n"/>
      <c r="R157" s="20" t="n"/>
      <c r="S157" s="20" t="inlineStr">
        <is>
          <t>Pendiente</t>
        </is>
      </c>
    </row>
    <row r="158" ht="36" customHeight="1">
      <c r="A158" s="21" t="inlineStr">
        <is>
          <t>NX-154</t>
        </is>
      </c>
      <c r="B158" s="17" t="inlineStr">
        <is>
          <t>Merca Ruth</t>
        </is>
      </c>
      <c r="C158" s="20" t="inlineStr">
        <is>
          <t>Alimentos, tiendas y consumo</t>
        </is>
      </c>
      <c r="D158" s="17" t="inlineStr">
        <is>
          <t>Minimercado / corresponsal</t>
        </is>
      </c>
      <c r="E158" s="17" t="n"/>
      <c r="F158" s="17" t="n"/>
      <c r="G158" s="17" t="inlineStr">
        <is>
          <t>Calle 10 #9-79</t>
        </is>
      </c>
      <c r="H158" s="45" t="n">
        <v>46314</v>
      </c>
      <c r="I158" s="17" t="inlineStr">
        <is>
          <t>Banco Agrario, ene. 2026; el listado no trae teléfono. Confirmar que el punto siga activo.</t>
        </is>
      </c>
      <c r="J158" s="17" t="inlineStr">
        <is>
          <t>https://www.bancoagrario.gov.co/system/files/2026-01/supergiros_0.pdf | https://www.bancoagrario.gov.co/canales-de-atencion/corresponsales</t>
        </is>
      </c>
      <c r="K158" s="17" t="inlineStr">
        <is>
          <t>Fuente: Prospectos_NeXo_La_Dorada_Ampliacion.xlsx</t>
        </is>
      </c>
      <c r="L158" s="19">
        <f>IF($B158="","",SUBSTITUTE(INDEX(Plantillas!$B$6:$B$15,MATCH($C158,Plantillas!$A$6:$A$15,0)),"{NEGOCIO}",$B158))</f>
        <v/>
      </c>
      <c r="M158" s="18">
        <f>IF($B158="","",SUBSTITUTE(INDEX(Plantillas!$C$6:$C$15,MATCH($C158,Plantillas!$A$6:$A$15,0)),"{NEGOCIO}",$B158))</f>
        <v/>
      </c>
      <c r="N158" s="20" t="inlineStr">
        <is>
          <t>Sin correo público</t>
        </is>
      </c>
      <c r="O158" s="20" t="inlineStr">
        <is>
          <t>Pendiente de revisar</t>
        </is>
      </c>
      <c r="P158" s="20" t="inlineStr">
        <is>
          <t>Pendiente de revisión</t>
        </is>
      </c>
      <c r="Q158" s="46" t="n"/>
      <c r="R158" s="20" t="n"/>
      <c r="S158" s="20" t="inlineStr">
        <is>
          <t>Pendiente</t>
        </is>
      </c>
    </row>
    <row r="159" ht="36" customHeight="1">
      <c r="A159" s="21" t="inlineStr">
        <is>
          <t>NX-155</t>
        </is>
      </c>
      <c r="B159" s="17" t="inlineStr">
        <is>
          <t>Minimercado El Paraíso</t>
        </is>
      </c>
      <c r="C159" s="20" t="inlineStr">
        <is>
          <t>Alimentos, tiendas y consumo</t>
        </is>
      </c>
      <c r="D159" s="17" t="inlineStr">
        <is>
          <t>Minimercado / corresponsal</t>
        </is>
      </c>
      <c r="E159" s="17" t="n"/>
      <c r="F159" s="17" t="n"/>
      <c r="G159" s="17" t="inlineStr">
        <is>
          <t>Carrera 4 #36-17</t>
        </is>
      </c>
      <c r="H159" s="45" t="n">
        <v>46314</v>
      </c>
      <c r="I159" s="17" t="inlineStr">
        <is>
          <t>Banco Agrario, ene. 2026; el listado no trae teléfono. Confirmar que el punto siga activo.</t>
        </is>
      </c>
      <c r="J159" s="17" t="inlineStr">
        <is>
          <t>https://www.bancoagrario.gov.co/system/files/2026-01/supergiros_0.pdf | https://www.bancoagrario.gov.co/canales-de-atencion/corresponsales</t>
        </is>
      </c>
      <c r="K159" s="17" t="inlineStr">
        <is>
          <t>Fuente: Prospectos_NeXo_La_Dorada_Ampliacion.xlsx</t>
        </is>
      </c>
      <c r="L159" s="19">
        <f>IF($B159="","",SUBSTITUTE(INDEX(Plantillas!$B$6:$B$15,MATCH($C159,Plantillas!$A$6:$A$15,0)),"{NEGOCIO}",$B159))</f>
        <v/>
      </c>
      <c r="M159" s="18">
        <f>IF($B159="","",SUBSTITUTE(INDEX(Plantillas!$C$6:$C$15,MATCH($C159,Plantillas!$A$6:$A$15,0)),"{NEGOCIO}",$B159))</f>
        <v/>
      </c>
      <c r="N159" s="20" t="inlineStr">
        <is>
          <t>Sin correo público</t>
        </is>
      </c>
      <c r="O159" s="20" t="inlineStr">
        <is>
          <t>Pendiente de revisar</t>
        </is>
      </c>
      <c r="P159" s="20" t="inlineStr">
        <is>
          <t>Pendiente de revisión</t>
        </is>
      </c>
      <c r="Q159" s="46" t="n"/>
      <c r="R159" s="20" t="n"/>
      <c r="S159" s="20" t="inlineStr">
        <is>
          <t>Pendiente</t>
        </is>
      </c>
    </row>
    <row r="160" ht="36" customHeight="1">
      <c r="A160" s="21" t="inlineStr">
        <is>
          <t>NX-156</t>
        </is>
      </c>
      <c r="B160" s="17" t="inlineStr">
        <is>
          <t>CLIPS</t>
        </is>
      </c>
      <c r="C160" s="20" t="inlineStr">
        <is>
          <t>Comercios y corresponsales</t>
        </is>
      </c>
      <c r="D160" s="17" t="inlineStr">
        <is>
          <t>Comercio / corresponsal</t>
        </is>
      </c>
      <c r="E160" s="17" t="n"/>
      <c r="F160" s="17" t="n"/>
      <c r="G160" s="17" t="inlineStr">
        <is>
          <t>Carrera 9 #47-18</t>
        </is>
      </c>
      <c r="H160" s="45" t="n">
        <v>46314</v>
      </c>
      <c r="I160" s="17" t="inlineStr">
        <is>
          <t>Banco Agrario, ene. 2026; el listado no trae teléfono. Confirmar que el punto siga activo.</t>
        </is>
      </c>
      <c r="J160" s="17" t="inlineStr">
        <is>
          <t>https://www.bancoagrario.gov.co/system/files/2026-01/supergiros_0.pdf | https://www.bancoagrario.gov.co/canales-de-atencion/corresponsales</t>
        </is>
      </c>
      <c r="K160" s="17" t="inlineStr">
        <is>
          <t>Fuente: Prospectos_NeXo_La_Dorada_Ampliacion.xlsx</t>
        </is>
      </c>
      <c r="L160" s="19">
        <f>IF($B160="","",SUBSTITUTE(INDEX(Plantillas!$B$6:$B$15,MATCH($C160,Plantillas!$A$6:$A$15,0)),"{NEGOCIO}",$B160))</f>
        <v/>
      </c>
      <c r="M160" s="18">
        <f>IF($B160="","",SUBSTITUTE(INDEX(Plantillas!$C$6:$C$15,MATCH($C160,Plantillas!$A$6:$A$15,0)),"{NEGOCIO}",$B160))</f>
        <v/>
      </c>
      <c r="N160" s="20" t="inlineStr">
        <is>
          <t>Sin correo público</t>
        </is>
      </c>
      <c r="O160" s="20" t="inlineStr">
        <is>
          <t>Pendiente de revisar</t>
        </is>
      </c>
      <c r="P160" s="20" t="inlineStr">
        <is>
          <t>Pendiente de revisión</t>
        </is>
      </c>
      <c r="Q160" s="46" t="n"/>
      <c r="R160" s="20" t="n"/>
      <c r="S160" s="20" t="inlineStr">
        <is>
          <t>Pendiente</t>
        </is>
      </c>
    </row>
    <row r="161" ht="36" customHeight="1">
      <c r="A161" s="21" t="inlineStr">
        <is>
          <t>NX-157</t>
        </is>
      </c>
      <c r="B161" s="17" t="inlineStr">
        <is>
          <t>Grupo Empresarial JR</t>
        </is>
      </c>
      <c r="C161" s="20" t="inlineStr">
        <is>
          <t>Comercios y corresponsales</t>
        </is>
      </c>
      <c r="D161" s="17" t="inlineStr">
        <is>
          <t>Servicios / corresponsal</t>
        </is>
      </c>
      <c r="E161" s="17" t="n"/>
      <c r="F161" s="17" t="n"/>
      <c r="G161" s="17" t="inlineStr">
        <is>
          <t>Carrera 46 #1-03</t>
        </is>
      </c>
      <c r="H161" s="45" t="n">
        <v>46314</v>
      </c>
      <c r="I161" s="17" t="inlineStr">
        <is>
          <t>Banco Agrario, ene. 2026; el listado no trae teléfono. Confirmar que el punto siga activo.</t>
        </is>
      </c>
      <c r="J161" s="17" t="inlineStr">
        <is>
          <t>https://www.bancoagrario.gov.co/system/files/2026-01/supergiros_0.pdf | https://www.bancoagrario.gov.co/canales-de-atencion/corresponsales</t>
        </is>
      </c>
      <c r="K161" s="17" t="inlineStr">
        <is>
          <t>Fuente: Prospectos_NeXo_La_Dorada_Ampliacion.xlsx</t>
        </is>
      </c>
      <c r="L161" s="19">
        <f>IF($B161="","",SUBSTITUTE(INDEX(Plantillas!$B$6:$B$15,MATCH($C161,Plantillas!$A$6:$A$15,0)),"{NEGOCIO}",$B161))</f>
        <v/>
      </c>
      <c r="M161" s="18">
        <f>IF($B161="","",SUBSTITUTE(INDEX(Plantillas!$C$6:$C$15,MATCH($C161,Plantillas!$A$6:$A$15,0)),"{NEGOCIO}",$B161))</f>
        <v/>
      </c>
      <c r="N161" s="20" t="inlineStr">
        <is>
          <t>Sin correo público</t>
        </is>
      </c>
      <c r="O161" s="20" t="inlineStr">
        <is>
          <t>Pendiente de revisar</t>
        </is>
      </c>
      <c r="P161" s="20" t="inlineStr">
        <is>
          <t>Pendiente de revisión</t>
        </is>
      </c>
      <c r="Q161" s="46" t="n"/>
      <c r="R161" s="20" t="n"/>
      <c r="S161" s="20" t="inlineStr">
        <is>
          <t>Pendiente</t>
        </is>
      </c>
    </row>
    <row r="162" ht="36" customHeight="1">
      <c r="A162" s="21" t="inlineStr">
        <is>
          <t>NX-158</t>
        </is>
      </c>
      <c r="B162" s="17" t="inlineStr">
        <is>
          <t>La Fuente del Sabor</t>
        </is>
      </c>
      <c r="C162" s="20" t="inlineStr">
        <is>
          <t>Alimentos, tiendas y consumo</t>
        </is>
      </c>
      <c r="D162" s="17" t="inlineStr">
        <is>
          <t>Alimentos / corresponsal</t>
        </is>
      </c>
      <c r="E162" s="17" t="n"/>
      <c r="F162" s="17" t="n"/>
      <c r="G162" s="17" t="inlineStr">
        <is>
          <t>Calle 21 #6-46</t>
        </is>
      </c>
      <c r="H162" s="45" t="n">
        <v>46314</v>
      </c>
      <c r="I162" s="17" t="inlineStr">
        <is>
          <t>Banco Agrario, ene. 2026; el listado no trae teléfono. Confirmar que el punto siga activo.</t>
        </is>
      </c>
      <c r="J162" s="17" t="inlineStr">
        <is>
          <t>https://www.bancoagrario.gov.co/system/files/2026-01/supergiros_0.pdf | https://www.bancoagrario.gov.co/canales-de-atencion/corresponsales</t>
        </is>
      </c>
      <c r="K162" s="17" t="inlineStr">
        <is>
          <t>Fuente: Prospectos_NeXo_La_Dorada_Ampliacion.xlsx</t>
        </is>
      </c>
      <c r="L162" s="19">
        <f>IF($B162="","",SUBSTITUTE(INDEX(Plantillas!$B$6:$B$15,MATCH($C162,Plantillas!$A$6:$A$15,0)),"{NEGOCIO}",$B162))</f>
        <v/>
      </c>
      <c r="M162" s="18">
        <f>IF($B162="","",SUBSTITUTE(INDEX(Plantillas!$C$6:$C$15,MATCH($C162,Plantillas!$A$6:$A$15,0)),"{NEGOCIO}",$B162))</f>
        <v/>
      </c>
      <c r="N162" s="20" t="inlineStr">
        <is>
          <t>Sin correo público</t>
        </is>
      </c>
      <c r="O162" s="20" t="inlineStr">
        <is>
          <t>Pendiente de revisar</t>
        </is>
      </c>
      <c r="P162" s="20" t="inlineStr">
        <is>
          <t>Pendiente de revisión</t>
        </is>
      </c>
      <c r="Q162" s="46" t="n"/>
      <c r="R162" s="20" t="n"/>
      <c r="S162" s="20" t="inlineStr">
        <is>
          <t>Pendiente</t>
        </is>
      </c>
    </row>
    <row r="163" ht="36" customHeight="1">
      <c r="A163" s="21" t="inlineStr">
        <is>
          <t>NX-159</t>
        </is>
      </c>
      <c r="B163" s="17" t="inlineStr">
        <is>
          <t>Drogas Medicamentos Su Salud</t>
        </is>
      </c>
      <c r="C163" s="20" t="inlineStr">
        <is>
          <t>Comercios y corresponsales</t>
        </is>
      </c>
      <c r="D163" s="17" t="inlineStr">
        <is>
          <t>Droguería / corresponsal</t>
        </is>
      </c>
      <c r="E163" s="17" t="n"/>
      <c r="F163" s="17" t="n"/>
      <c r="G163" s="17" t="inlineStr">
        <is>
          <t>Calle 11 #9-03</t>
        </is>
      </c>
      <c r="H163" s="45" t="n">
        <v>46314</v>
      </c>
      <c r="I163" s="17" t="inlineStr">
        <is>
          <t>Banco Agrario, ene. 2026; el listado no trae teléfono. Confirmar que el punto siga activo.</t>
        </is>
      </c>
      <c r="J163" s="17" t="inlineStr">
        <is>
          <t>https://www.bancoagrario.gov.co/system/files/2026-01/supergiros_0.pdf | https://www.bancoagrario.gov.co/canales-de-atencion/corresponsales</t>
        </is>
      </c>
      <c r="K163" s="17" t="inlineStr">
        <is>
          <t>Fuente: Prospectos_NeXo_La_Dorada_Ampliacion.xlsx</t>
        </is>
      </c>
      <c r="L163" s="19">
        <f>IF($B163="","",SUBSTITUTE(INDEX(Plantillas!$B$6:$B$15,MATCH($C163,Plantillas!$A$6:$A$15,0)),"{NEGOCIO}",$B163))</f>
        <v/>
      </c>
      <c r="M163" s="18">
        <f>IF($B163="","",SUBSTITUTE(INDEX(Plantillas!$C$6:$C$15,MATCH($C163,Plantillas!$A$6:$A$15,0)),"{NEGOCIO}",$B163))</f>
        <v/>
      </c>
      <c r="N163" s="20" t="inlineStr">
        <is>
          <t>Sin correo público</t>
        </is>
      </c>
      <c r="O163" s="20" t="inlineStr">
        <is>
          <t>Pendiente de revisar</t>
        </is>
      </c>
      <c r="P163" s="20" t="inlineStr">
        <is>
          <t>Pendiente de revisión</t>
        </is>
      </c>
      <c r="Q163" s="46" t="n"/>
      <c r="R163" s="20" t="n"/>
      <c r="S163" s="20" t="inlineStr">
        <is>
          <t>Pendiente</t>
        </is>
      </c>
    </row>
    <row r="164" ht="36" customHeight="1">
      <c r="A164" s="21" t="inlineStr">
        <is>
          <t>NX-160</t>
        </is>
      </c>
      <c r="B164" s="17" t="inlineStr">
        <is>
          <t>Miscelánea Anali</t>
        </is>
      </c>
      <c r="C164" s="20" t="inlineStr">
        <is>
          <t>Comercios y corresponsales</t>
        </is>
      </c>
      <c r="D164" s="17" t="inlineStr">
        <is>
          <t>Miscelánea / corresponsal</t>
        </is>
      </c>
      <c r="E164" s="17" t="n"/>
      <c r="F164" s="17" t="n"/>
      <c r="G164" s="17" t="inlineStr">
        <is>
          <t>Calle 18 #11-25</t>
        </is>
      </c>
      <c r="H164" s="45" t="n">
        <v>46314</v>
      </c>
      <c r="I164" s="17" t="inlineStr">
        <is>
          <t>Banco Agrario, ene. 2026; el listado no trae teléfono. Confirmar que el punto siga activo.</t>
        </is>
      </c>
      <c r="J164" s="17" t="inlineStr">
        <is>
          <t>https://www.bancoagrario.gov.co/system/files/2026-01/supergiros_0.pdf | https://www.bancoagrario.gov.co/canales-de-atencion/corresponsales</t>
        </is>
      </c>
      <c r="K164" s="17" t="inlineStr">
        <is>
          <t>Fuente: Prospectos_NeXo_La_Dorada_Ampliacion.xlsx</t>
        </is>
      </c>
      <c r="L164" s="19">
        <f>IF($B164="","",SUBSTITUTE(INDEX(Plantillas!$B$6:$B$15,MATCH($C164,Plantillas!$A$6:$A$15,0)),"{NEGOCIO}",$B164))</f>
        <v/>
      </c>
      <c r="M164" s="18">
        <f>IF($B164="","",SUBSTITUTE(INDEX(Plantillas!$C$6:$C$15,MATCH($C164,Plantillas!$A$6:$A$15,0)),"{NEGOCIO}",$B164))</f>
        <v/>
      </c>
      <c r="N164" s="20" t="inlineStr">
        <is>
          <t>Sin correo público</t>
        </is>
      </c>
      <c r="O164" s="20" t="inlineStr">
        <is>
          <t>Pendiente de revisar</t>
        </is>
      </c>
      <c r="P164" s="20" t="inlineStr">
        <is>
          <t>Pendiente de revisión</t>
        </is>
      </c>
      <c r="Q164" s="46" t="n"/>
      <c r="R164" s="20" t="n"/>
      <c r="S164" s="20" t="inlineStr">
        <is>
          <t>Pendiente</t>
        </is>
      </c>
    </row>
    <row r="165" ht="36" customHeight="1">
      <c r="A165" s="21" t="inlineStr">
        <is>
          <t>NX-161</t>
        </is>
      </c>
      <c r="B165" s="17" t="inlineStr">
        <is>
          <t>Miscelánea Amy</t>
        </is>
      </c>
      <c r="C165" s="20" t="inlineStr">
        <is>
          <t>Comercios y corresponsales</t>
        </is>
      </c>
      <c r="D165" s="17" t="inlineStr">
        <is>
          <t>Miscelánea / corresponsal</t>
        </is>
      </c>
      <c r="E165" s="17" t="n"/>
      <c r="F165" s="17" t="n"/>
      <c r="G165" s="17" t="inlineStr">
        <is>
          <t>Carrera 2 #26-51</t>
        </is>
      </c>
      <c r="H165" s="45" t="n">
        <v>46314</v>
      </c>
      <c r="I165" s="17" t="inlineStr">
        <is>
          <t>Banco Agrario, ene. 2026; el listado no trae teléfono. Confirmar que el punto siga activo.</t>
        </is>
      </c>
      <c r="J165" s="17" t="inlineStr">
        <is>
          <t>https://www.bancoagrario.gov.co/system/files/2026-01/supergiros_0.pdf | https://www.bancoagrario.gov.co/canales-de-atencion/corresponsales</t>
        </is>
      </c>
      <c r="K165" s="17" t="inlineStr">
        <is>
          <t>Fuente: Prospectos_NeXo_La_Dorada_Ampliacion.xlsx</t>
        </is>
      </c>
      <c r="L165" s="19">
        <f>IF($B165="","",SUBSTITUTE(INDEX(Plantillas!$B$6:$B$15,MATCH($C165,Plantillas!$A$6:$A$15,0)),"{NEGOCIO}",$B165))</f>
        <v/>
      </c>
      <c r="M165" s="18">
        <f>IF($B165="","",SUBSTITUTE(INDEX(Plantillas!$C$6:$C$15,MATCH($C165,Plantillas!$A$6:$A$15,0)),"{NEGOCIO}",$B165))</f>
        <v/>
      </c>
      <c r="N165" s="20" t="inlineStr">
        <is>
          <t>Sin correo público</t>
        </is>
      </c>
      <c r="O165" s="20" t="inlineStr">
        <is>
          <t>Pendiente de revisar</t>
        </is>
      </c>
      <c r="P165" s="20" t="inlineStr">
        <is>
          <t>Pendiente de revisión</t>
        </is>
      </c>
      <c r="Q165" s="46" t="n"/>
      <c r="R165" s="20" t="n"/>
      <c r="S165" s="20" t="inlineStr">
        <is>
          <t>Pendiente</t>
        </is>
      </c>
    </row>
    <row r="166" ht="36" customHeight="1">
      <c r="A166" s="21" t="inlineStr">
        <is>
          <t>NX-162</t>
        </is>
      </c>
      <c r="B166" s="17" t="inlineStr">
        <is>
          <t>Variedades San Sebastián</t>
        </is>
      </c>
      <c r="C166" s="20" t="inlineStr">
        <is>
          <t>Comercios y corresponsales</t>
        </is>
      </c>
      <c r="D166" s="17" t="inlineStr">
        <is>
          <t>Variedades / corresponsal</t>
        </is>
      </c>
      <c r="E166" s="17" t="n"/>
      <c r="F166" s="17" t="n"/>
      <c r="G166" s="17" t="inlineStr">
        <is>
          <t>Calle 20 #10-05</t>
        </is>
      </c>
      <c r="H166" s="45" t="n">
        <v>46314</v>
      </c>
      <c r="I166" s="17" t="inlineStr">
        <is>
          <t>Banco Agrario, ene. 2026; el listado no trae teléfono. Confirmar que el punto siga activo.</t>
        </is>
      </c>
      <c r="J166" s="17" t="inlineStr">
        <is>
          <t>https://www.bancoagrario.gov.co/system/files/2026-01/supergiros_0.pdf | https://www.bancoagrario.gov.co/canales-de-atencion/corresponsales</t>
        </is>
      </c>
      <c r="K166" s="17" t="inlineStr">
        <is>
          <t>Fuente: Prospectos_NeXo_La_Dorada_Ampliacion.xlsx</t>
        </is>
      </c>
      <c r="L166" s="19">
        <f>IF($B166="","",SUBSTITUTE(INDEX(Plantillas!$B$6:$B$15,MATCH($C166,Plantillas!$A$6:$A$15,0)),"{NEGOCIO}",$B166))</f>
        <v/>
      </c>
      <c r="M166" s="18">
        <f>IF($B166="","",SUBSTITUTE(INDEX(Plantillas!$C$6:$C$15,MATCH($C166,Plantillas!$A$6:$A$15,0)),"{NEGOCIO}",$B166))</f>
        <v/>
      </c>
      <c r="N166" s="20" t="inlineStr">
        <is>
          <t>Sin correo público</t>
        </is>
      </c>
      <c r="O166" s="20" t="inlineStr">
        <is>
          <t>Pendiente de revisar</t>
        </is>
      </c>
      <c r="P166" s="20" t="inlineStr">
        <is>
          <t>Pendiente de revisión</t>
        </is>
      </c>
      <c r="Q166" s="46" t="n"/>
      <c r="R166" s="20" t="n"/>
      <c r="S166" s="20" t="inlineStr">
        <is>
          <t>Pendiente</t>
        </is>
      </c>
    </row>
    <row r="167" ht="36" customHeight="1">
      <c r="A167" s="21" t="inlineStr">
        <is>
          <t>NX-163</t>
        </is>
      </c>
      <c r="B167" s="17" t="inlineStr">
        <is>
          <t>Inversiones Taylor</t>
        </is>
      </c>
      <c r="C167" s="20" t="inlineStr">
        <is>
          <t>Comercios y corresponsales</t>
        </is>
      </c>
      <c r="D167" s="17" t="inlineStr">
        <is>
          <t>Comercio / corresponsal</t>
        </is>
      </c>
      <c r="E167" s="17" t="n"/>
      <c r="F167" s="17" t="n"/>
      <c r="G167" s="17" t="inlineStr">
        <is>
          <t>Carrera 5 #12-25</t>
        </is>
      </c>
      <c r="H167" s="45" t="n">
        <v>46314</v>
      </c>
      <c r="I167" s="17" t="inlineStr">
        <is>
          <t>Banco Agrario, ene. 2026; el listado no trae teléfono. Confirmar que el punto siga activo.</t>
        </is>
      </c>
      <c r="J167" s="17" t="inlineStr">
        <is>
          <t>https://www.bancoagrario.gov.co/system/files/2026-01/supergiros_0.pdf | https://www.bancoagrario.gov.co/canales-de-atencion/corresponsales</t>
        </is>
      </c>
      <c r="K167" s="17" t="inlineStr">
        <is>
          <t>Fuente: Prospectos_NeXo_La_Dorada_Ampliacion.xlsx</t>
        </is>
      </c>
      <c r="L167" s="19">
        <f>IF($B167="","",SUBSTITUTE(INDEX(Plantillas!$B$6:$B$15,MATCH($C167,Plantillas!$A$6:$A$15,0)),"{NEGOCIO}",$B167))</f>
        <v/>
      </c>
      <c r="M167" s="18">
        <f>IF($B167="","",SUBSTITUTE(INDEX(Plantillas!$C$6:$C$15,MATCH($C167,Plantillas!$A$6:$A$15,0)),"{NEGOCIO}",$B167))</f>
        <v/>
      </c>
      <c r="N167" s="20" t="inlineStr">
        <is>
          <t>Sin correo público</t>
        </is>
      </c>
      <c r="O167" s="20" t="inlineStr">
        <is>
          <t>Pendiente de revisar</t>
        </is>
      </c>
      <c r="P167" s="20" t="inlineStr">
        <is>
          <t>Pendiente de revisión</t>
        </is>
      </c>
      <c r="Q167" s="46" t="n"/>
      <c r="R167" s="20" t="n"/>
      <c r="S167" s="20" t="inlineStr">
        <is>
          <t>Pendiente</t>
        </is>
      </c>
    </row>
    <row r="168" ht="36" customHeight="1">
      <c r="A168" s="21" t="inlineStr">
        <is>
          <t>NX-164</t>
        </is>
      </c>
      <c r="B168" s="17" t="inlineStr">
        <is>
          <t>Variedades Doble Calzada</t>
        </is>
      </c>
      <c r="C168" s="20" t="inlineStr">
        <is>
          <t>Comercios y corresponsales</t>
        </is>
      </c>
      <c r="D168" s="17" t="inlineStr">
        <is>
          <t>Variedades / corresponsal</t>
        </is>
      </c>
      <c r="E168" s="17" t="n"/>
      <c r="F168" s="17" t="n"/>
      <c r="G168" s="17" t="inlineStr">
        <is>
          <t>Calle 20 #10-05</t>
        </is>
      </c>
      <c r="H168" s="45" t="n">
        <v>46314</v>
      </c>
      <c r="I168" s="17" t="inlineStr">
        <is>
          <t>Banco Agrario, ene. 2026; el listado no trae teléfono. Confirmar que el punto siga activo.</t>
        </is>
      </c>
      <c r="J168" s="17" t="inlineStr">
        <is>
          <t>https://www.bancoagrario.gov.co/system/files/2026-01/supergiros_0.pdf | https://www.bancoagrario.gov.co/canales-de-atencion/corresponsales</t>
        </is>
      </c>
      <c r="K168" s="17" t="inlineStr">
        <is>
          <t>Comparte dirección publicada con Variedades San Sebastián; verificar si son el mismo punto. | Fuente: Prospectos_NeXo_La_Dorada_Ampliacion.xlsx</t>
        </is>
      </c>
      <c r="L168" s="19">
        <f>IF($B168="","",SUBSTITUTE(INDEX(Plantillas!$B$6:$B$15,MATCH($C168,Plantillas!$A$6:$A$15,0)),"{NEGOCIO}",$B168))</f>
        <v/>
      </c>
      <c r="M168" s="18">
        <f>IF($B168="","",SUBSTITUTE(INDEX(Plantillas!$C$6:$C$15,MATCH($C168,Plantillas!$A$6:$A$15,0)),"{NEGOCIO}",$B168))</f>
        <v/>
      </c>
      <c r="N168" s="20" t="inlineStr">
        <is>
          <t>Sin correo público</t>
        </is>
      </c>
      <c r="O168" s="20" t="inlineStr">
        <is>
          <t>Pendiente de revisar</t>
        </is>
      </c>
      <c r="P168" s="20" t="inlineStr">
        <is>
          <t>Pendiente de revisión</t>
        </is>
      </c>
      <c r="Q168" s="46" t="n"/>
      <c r="R168" s="20" t="n"/>
      <c r="S168" s="20" t="inlineStr">
        <is>
          <t>Pendiente</t>
        </is>
      </c>
    </row>
    <row r="169" ht="36" customHeight="1">
      <c r="A169" s="21" t="inlineStr">
        <is>
          <t>NX-165</t>
        </is>
      </c>
      <c r="B169" s="17" t="inlineStr">
        <is>
          <t>Variedades BetyyLuc</t>
        </is>
      </c>
      <c r="C169" s="20" t="inlineStr">
        <is>
          <t>Comercios y corresponsales</t>
        </is>
      </c>
      <c r="D169" s="17" t="inlineStr">
        <is>
          <t>Variedades / corresponsal</t>
        </is>
      </c>
      <c r="E169" s="17" t="n"/>
      <c r="F169" s="17" t="n"/>
      <c r="G169" s="17" t="inlineStr">
        <is>
          <t>Carrera 5 #17-17</t>
        </is>
      </c>
      <c r="H169" s="45" t="n">
        <v>46314</v>
      </c>
      <c r="I169" s="17" t="inlineStr">
        <is>
          <t>Banco Agrario, ene. 2026; el listado no trae teléfono. Confirmar que el punto siga activo.</t>
        </is>
      </c>
      <c r="J169" s="17" t="inlineStr">
        <is>
          <t>https://www.bancoagrario.gov.co/system/files/2026-01/supergiros_0.pdf | https://www.bancoagrario.gov.co/canales-de-atencion/corresponsales</t>
        </is>
      </c>
      <c r="K169" s="17" t="inlineStr">
        <is>
          <t>Fuente: Prospectos_NeXo_La_Dorada_Ampliacion.xlsx</t>
        </is>
      </c>
      <c r="L169" s="19">
        <f>IF($B169="","",SUBSTITUTE(INDEX(Plantillas!$B$6:$B$15,MATCH($C169,Plantillas!$A$6:$A$15,0)),"{NEGOCIO}",$B169))</f>
        <v/>
      </c>
      <c r="M169" s="18">
        <f>IF($B169="","",SUBSTITUTE(INDEX(Plantillas!$C$6:$C$15,MATCH($C169,Plantillas!$A$6:$A$15,0)),"{NEGOCIO}",$B169))</f>
        <v/>
      </c>
      <c r="N169" s="20" t="inlineStr">
        <is>
          <t>Sin correo público</t>
        </is>
      </c>
      <c r="O169" s="20" t="inlineStr">
        <is>
          <t>Pendiente de revisar</t>
        </is>
      </c>
      <c r="P169" s="20" t="inlineStr">
        <is>
          <t>Pendiente de revisión</t>
        </is>
      </c>
      <c r="Q169" s="46" t="n"/>
      <c r="R169" s="20" t="n"/>
      <c r="S169" s="20" t="inlineStr">
        <is>
          <t>Pendiente</t>
        </is>
      </c>
    </row>
    <row r="170" ht="36" customHeight="1">
      <c r="A170" s="21" t="inlineStr">
        <is>
          <t>NX-166</t>
        </is>
      </c>
      <c r="B170" s="17" t="inlineStr">
        <is>
          <t>S y S</t>
        </is>
      </c>
      <c r="C170" s="20" t="inlineStr">
        <is>
          <t>Comercios y corresponsales</t>
        </is>
      </c>
      <c r="D170" s="17" t="inlineStr">
        <is>
          <t>Comercio / corresponsal</t>
        </is>
      </c>
      <c r="E170" s="17" t="n"/>
      <c r="F170" s="17" t="n"/>
      <c r="G170" s="17" t="inlineStr">
        <is>
          <t>Carrera 1 #27-17</t>
        </is>
      </c>
      <c r="H170" s="45" t="n">
        <v>46314</v>
      </c>
      <c r="I170" s="17" t="inlineStr">
        <is>
          <t>Banco Agrario, ene. 2026; el listado no trae teléfono. Confirmar que el punto siga activo.</t>
        </is>
      </c>
      <c r="J170" s="17" t="inlineStr">
        <is>
          <t>https://www.bancoagrario.gov.co/system/files/2026-01/supergiros_0.pdf | https://www.bancoagrario.gov.co/canales-de-atencion/corresponsales</t>
        </is>
      </c>
      <c r="K170" s="17" t="inlineStr">
        <is>
          <t>Fuente: Prospectos_NeXo_La_Dorada_Ampliacion.xlsx</t>
        </is>
      </c>
      <c r="L170" s="19">
        <f>IF($B170="","",SUBSTITUTE(INDEX(Plantillas!$B$6:$B$15,MATCH($C170,Plantillas!$A$6:$A$15,0)),"{NEGOCIO}",$B170))</f>
        <v/>
      </c>
      <c r="M170" s="18">
        <f>IF($B170="","",SUBSTITUTE(INDEX(Plantillas!$C$6:$C$15,MATCH($C170,Plantillas!$A$6:$A$15,0)),"{NEGOCIO}",$B170))</f>
        <v/>
      </c>
      <c r="N170" s="20" t="inlineStr">
        <is>
          <t>Sin correo público</t>
        </is>
      </c>
      <c r="O170" s="20" t="inlineStr">
        <is>
          <t>Pendiente de revisar</t>
        </is>
      </c>
      <c r="P170" s="20" t="inlineStr">
        <is>
          <t>Pendiente de revisión</t>
        </is>
      </c>
      <c r="Q170" s="46" t="n"/>
      <c r="R170" s="20" t="n"/>
      <c r="S170" s="20" t="inlineStr">
        <is>
          <t>Pendiente</t>
        </is>
      </c>
    </row>
    <row r="171" ht="36" customHeight="1">
      <c r="A171" s="21" t="inlineStr">
        <is>
          <t>NX-167</t>
        </is>
      </c>
      <c r="B171" s="17" t="inlineStr">
        <is>
          <t>Acces Net</t>
        </is>
      </c>
      <c r="C171" s="20" t="inlineStr">
        <is>
          <t>Comercios y corresponsales</t>
        </is>
      </c>
      <c r="D171" s="17" t="inlineStr">
        <is>
          <t>Internet / corresponsal</t>
        </is>
      </c>
      <c r="E171" s="17" t="n"/>
      <c r="F171" s="17" t="n"/>
      <c r="G171" s="17" t="inlineStr">
        <is>
          <t>Calle 45 #5B-07</t>
        </is>
      </c>
      <c r="H171" s="45" t="n">
        <v>46314</v>
      </c>
      <c r="I171" s="17" t="inlineStr">
        <is>
          <t>Banco Agrario, ene. 2026; el listado no trae teléfono. Confirmar que el punto siga activo.</t>
        </is>
      </c>
      <c r="J171" s="17" t="inlineStr">
        <is>
          <t>https://www.bancoagrario.gov.co/system/files/2026-01/supergiros_0.pdf | https://www.bancoagrario.gov.co/canales-de-atencion/corresponsales</t>
        </is>
      </c>
      <c r="K171" s="17" t="inlineStr">
        <is>
          <t>Fuente: Prospectos_NeXo_La_Dorada_Ampliacion.xlsx</t>
        </is>
      </c>
      <c r="L171" s="19">
        <f>IF($B171="","",SUBSTITUTE(INDEX(Plantillas!$B$6:$B$15,MATCH($C171,Plantillas!$A$6:$A$15,0)),"{NEGOCIO}",$B171))</f>
        <v/>
      </c>
      <c r="M171" s="18">
        <f>IF($B171="","",SUBSTITUTE(INDEX(Plantillas!$C$6:$C$15,MATCH($C171,Plantillas!$A$6:$A$15,0)),"{NEGOCIO}",$B171))</f>
        <v/>
      </c>
      <c r="N171" s="20" t="inlineStr">
        <is>
          <t>Sin correo público</t>
        </is>
      </c>
      <c r="O171" s="20" t="inlineStr">
        <is>
          <t>Pendiente de revisar</t>
        </is>
      </c>
      <c r="P171" s="20" t="inlineStr">
        <is>
          <t>Pendiente de revisión</t>
        </is>
      </c>
      <c r="Q171" s="46" t="n"/>
      <c r="R171" s="20" t="n"/>
      <c r="S171" s="20" t="inlineStr">
        <is>
          <t>Pendiente</t>
        </is>
      </c>
    </row>
    <row r="172" ht="36" customHeight="1">
      <c r="A172" s="21" t="inlineStr">
        <is>
          <t>NX-168</t>
        </is>
      </c>
      <c r="B172" s="17" t="inlineStr">
        <is>
          <t>Variedades Madinet</t>
        </is>
      </c>
      <c r="C172" s="20" t="inlineStr">
        <is>
          <t>Comercios y corresponsales</t>
        </is>
      </c>
      <c r="D172" s="17" t="inlineStr">
        <is>
          <t>Variedades / corresponsal</t>
        </is>
      </c>
      <c r="E172" s="17" t="n"/>
      <c r="F172" s="17" t="n"/>
      <c r="G172" s="17" t="inlineStr">
        <is>
          <t>Carrera 7 #46-43</t>
        </is>
      </c>
      <c r="H172" s="45" t="n">
        <v>46314</v>
      </c>
      <c r="I172" s="17" t="inlineStr">
        <is>
          <t>Banco Agrario, ene. 2026; el listado no trae teléfono. Confirmar que el punto siga activo.</t>
        </is>
      </c>
      <c r="J172" s="17" t="inlineStr">
        <is>
          <t>https://www.bancoagrario.gov.co/system/files/2026-01/supergiros_0.pdf | https://www.bancoagrario.gov.co/canales-de-atencion/corresponsales</t>
        </is>
      </c>
      <c r="K172" s="17" t="inlineStr">
        <is>
          <t>Fuente: Prospectos_NeXo_La_Dorada_Ampliacion.xlsx</t>
        </is>
      </c>
      <c r="L172" s="19">
        <f>IF($B172="","",SUBSTITUTE(INDEX(Plantillas!$B$6:$B$15,MATCH($C172,Plantillas!$A$6:$A$15,0)),"{NEGOCIO}",$B172))</f>
        <v/>
      </c>
      <c r="M172" s="18">
        <f>IF($B172="","",SUBSTITUTE(INDEX(Plantillas!$C$6:$C$15,MATCH($C172,Plantillas!$A$6:$A$15,0)),"{NEGOCIO}",$B172))</f>
        <v/>
      </c>
      <c r="N172" s="20" t="inlineStr">
        <is>
          <t>Sin correo público</t>
        </is>
      </c>
      <c r="O172" s="20" t="inlineStr">
        <is>
          <t>Pendiente de revisar</t>
        </is>
      </c>
      <c r="P172" s="20" t="inlineStr">
        <is>
          <t>Pendiente de revisión</t>
        </is>
      </c>
      <c r="Q172" s="46" t="n"/>
      <c r="R172" s="20" t="n"/>
      <c r="S172" s="20" t="inlineStr">
        <is>
          <t>Pendiente</t>
        </is>
      </c>
    </row>
    <row r="173" ht="36" customHeight="1">
      <c r="A173" s="21" t="inlineStr">
        <is>
          <t>NX-169</t>
        </is>
      </c>
      <c r="B173" s="17" t="inlineStr">
        <is>
          <t>Variedades La 16</t>
        </is>
      </c>
      <c r="C173" s="20" t="inlineStr">
        <is>
          <t>Comercios y corresponsales</t>
        </is>
      </c>
      <c r="D173" s="17" t="inlineStr">
        <is>
          <t>Variedades / corresponsal</t>
        </is>
      </c>
      <c r="E173" s="17" t="n"/>
      <c r="F173" s="17" t="n"/>
      <c r="G173" s="17" t="inlineStr">
        <is>
          <t>Carrera 13 #16-10</t>
        </is>
      </c>
      <c r="H173" s="45" t="n">
        <v>46314</v>
      </c>
      <c r="I173" s="17" t="inlineStr">
        <is>
          <t>Bancamía/Supergiros, sep. 2025; el listado no trae teléfono. Confirmar que el punto siga activo.</t>
        </is>
      </c>
      <c r="J173" s="17" t="inlineStr">
        <is>
          <t>https://www.bancamia.com.co/wp-content/uploads/2025/09/PLANTILLA-PUNTOS-SUPERGIROS.pdf</t>
        </is>
      </c>
      <c r="K173" s="17" t="inlineStr">
        <is>
          <t>Fuente: Prospectos_NeXo_La_Dorada_Ampliacion.xlsx</t>
        </is>
      </c>
      <c r="L173" s="19">
        <f>IF($B173="","",SUBSTITUTE(INDEX(Plantillas!$B$6:$B$15,MATCH($C173,Plantillas!$A$6:$A$15,0)),"{NEGOCIO}",$B173))</f>
        <v/>
      </c>
      <c r="M173" s="18">
        <f>IF($B173="","",SUBSTITUTE(INDEX(Plantillas!$C$6:$C$15,MATCH($C173,Plantillas!$A$6:$A$15,0)),"{NEGOCIO}",$B173))</f>
        <v/>
      </c>
      <c r="N173" s="20" t="inlineStr">
        <is>
          <t>Sin correo público</t>
        </is>
      </c>
      <c r="O173" s="20" t="inlineStr">
        <is>
          <t>Pendiente de revisar</t>
        </is>
      </c>
      <c r="P173" s="20" t="inlineStr">
        <is>
          <t>Pendiente de revisión</t>
        </is>
      </c>
      <c r="Q173" s="46" t="n"/>
      <c r="R173" s="20" t="n"/>
      <c r="S173" s="20" t="inlineStr">
        <is>
          <t>Pendiente</t>
        </is>
      </c>
    </row>
    <row r="174" ht="36" customHeight="1">
      <c r="A174" s="21" t="inlineStr">
        <is>
          <t>NX-170</t>
        </is>
      </c>
      <c r="B174" s="17" t="inlineStr">
        <is>
          <t>Minimercado El Preferido</t>
        </is>
      </c>
      <c r="C174" s="20" t="inlineStr">
        <is>
          <t>Alimentos, tiendas y consumo</t>
        </is>
      </c>
      <c r="D174" s="17" t="inlineStr">
        <is>
          <t>Minimercado / corresponsal</t>
        </is>
      </c>
      <c r="E174" s="17" t="n"/>
      <c r="F174" s="17" t="n"/>
      <c r="G174" s="17" t="inlineStr">
        <is>
          <t>Calle 27 #1-73, barrio Los Limones</t>
        </is>
      </c>
      <c r="H174" s="45" t="n">
        <v>46314</v>
      </c>
      <c r="I174" s="17" t="inlineStr">
        <is>
          <t>Bancamía/Supergiros, sep. 2025; el listado no trae teléfono. Confirmar que el punto siga activo.</t>
        </is>
      </c>
      <c r="J174" s="17" t="inlineStr">
        <is>
          <t>https://www.bancamia.com.co/wp-content/uploads/2025/09/PLANTILLA-PUNTOS-SUPERGIROS.pdf</t>
        </is>
      </c>
      <c r="K174" s="17" t="inlineStr">
        <is>
          <t>Fuente: Prospectos_NeXo_La_Dorada_Ampliacion.xlsx</t>
        </is>
      </c>
      <c r="L174" s="19">
        <f>IF($B174="","",SUBSTITUTE(INDEX(Plantillas!$B$6:$B$15,MATCH($C174,Plantillas!$A$6:$A$15,0)),"{NEGOCIO}",$B174))</f>
        <v/>
      </c>
      <c r="M174" s="18">
        <f>IF($B174="","",SUBSTITUTE(INDEX(Plantillas!$C$6:$C$15,MATCH($C174,Plantillas!$A$6:$A$15,0)),"{NEGOCIO}",$B174))</f>
        <v/>
      </c>
      <c r="N174" s="20" t="inlineStr">
        <is>
          <t>Sin correo público</t>
        </is>
      </c>
      <c r="O174" s="20" t="inlineStr">
        <is>
          <t>Pendiente de revisar</t>
        </is>
      </c>
      <c r="P174" s="20" t="inlineStr">
        <is>
          <t>Pendiente de revisión</t>
        </is>
      </c>
      <c r="Q174" s="46" t="n"/>
      <c r="R174" s="20" t="n"/>
      <c r="S174" s="20" t="inlineStr">
        <is>
          <t>Pendiente</t>
        </is>
      </c>
    </row>
    <row r="175" ht="36" customHeight="1">
      <c r="A175" s="21" t="inlineStr">
        <is>
          <t>NX-171</t>
        </is>
      </c>
      <c r="B175" s="17" t="inlineStr">
        <is>
          <t>Intercandy</t>
        </is>
      </c>
      <c r="C175" s="20" t="inlineStr">
        <is>
          <t>Alimentos, tiendas y consumo</t>
        </is>
      </c>
      <c r="D175" s="17" t="inlineStr">
        <is>
          <t>Dulcería / corresponsal</t>
        </is>
      </c>
      <c r="E175" s="17" t="n"/>
      <c r="F175" s="17" t="n"/>
      <c r="G175" s="17" t="inlineStr">
        <is>
          <t>Lote Largo, vía Doña Juana</t>
        </is>
      </c>
      <c r="H175" s="45" t="n">
        <v>46314</v>
      </c>
      <c r="I175" s="17" t="inlineStr">
        <is>
          <t>Bancamía/Supergiros, sep. 2025; el listado no trae teléfono. Confirmar que el punto siga activo.</t>
        </is>
      </c>
      <c r="J175" s="17" t="inlineStr">
        <is>
          <t>https://www.bancamia.com.co/wp-content/uploads/2025/09/PLANTILLA-PUNTOS-SUPERGIROS.pdf</t>
        </is>
      </c>
      <c r="K175" s="17" t="inlineStr">
        <is>
          <t>Fuente: Prospectos_NeXo_La_Dorada_Ampliacion.xlsx</t>
        </is>
      </c>
      <c r="L175" s="19">
        <f>IF($B175="","",SUBSTITUTE(INDEX(Plantillas!$B$6:$B$15,MATCH($C175,Plantillas!$A$6:$A$15,0)),"{NEGOCIO}",$B175))</f>
        <v/>
      </c>
      <c r="M175" s="18">
        <f>IF($B175="","",SUBSTITUTE(INDEX(Plantillas!$C$6:$C$15,MATCH($C175,Plantillas!$A$6:$A$15,0)),"{NEGOCIO}",$B175))</f>
        <v/>
      </c>
      <c r="N175" s="20" t="inlineStr">
        <is>
          <t>Sin correo público</t>
        </is>
      </c>
      <c r="O175" s="20" t="inlineStr">
        <is>
          <t>Pendiente de revisar</t>
        </is>
      </c>
      <c r="P175" s="20" t="inlineStr">
        <is>
          <t>Pendiente de revisión</t>
        </is>
      </c>
      <c r="Q175" s="46" t="n"/>
      <c r="R175" s="20" t="n"/>
      <c r="S175" s="20" t="inlineStr">
        <is>
          <t>Pendiente</t>
        </is>
      </c>
    </row>
    <row r="176" ht="36" customHeight="1">
      <c r="A176" s="21" t="inlineStr">
        <is>
          <t>NX-172</t>
        </is>
      </c>
      <c r="B176" s="17" t="inlineStr">
        <is>
          <t>Variedades Dijhois</t>
        </is>
      </c>
      <c r="C176" s="20" t="inlineStr">
        <is>
          <t>Comercios y corresponsales</t>
        </is>
      </c>
      <c r="D176" s="17" t="inlineStr">
        <is>
          <t>Variedades / corresponsal</t>
        </is>
      </c>
      <c r="E176" s="17" t="n"/>
      <c r="F176" s="17" t="n"/>
      <c r="G176" s="17" t="inlineStr">
        <is>
          <t>Calle 47 #5C-10, Las Ferias</t>
        </is>
      </c>
      <c r="H176" s="45" t="n">
        <v>46314</v>
      </c>
      <c r="I176" s="17" t="inlineStr">
        <is>
          <t>Bancamía/Supergiros, sep. 2025; el listado no trae teléfono. Confirmar que el punto siga activo.</t>
        </is>
      </c>
      <c r="J176" s="17" t="inlineStr">
        <is>
          <t>https://www.bancamia.com.co/wp-content/uploads/2025/09/PLANTILLA-PUNTOS-SUPERGIROS.pdf</t>
        </is>
      </c>
      <c r="K176" s="17" t="inlineStr">
        <is>
          <t>Fuente: Prospectos_NeXo_La_Dorada_Ampliacion.xlsx</t>
        </is>
      </c>
      <c r="L176" s="19">
        <f>IF($B176="","",SUBSTITUTE(INDEX(Plantillas!$B$6:$B$15,MATCH($C176,Plantillas!$A$6:$A$15,0)),"{NEGOCIO}",$B176))</f>
        <v/>
      </c>
      <c r="M176" s="18">
        <f>IF($B176="","",SUBSTITUTE(INDEX(Plantillas!$C$6:$C$15,MATCH($C176,Plantillas!$A$6:$A$15,0)),"{NEGOCIO}",$B176))</f>
        <v/>
      </c>
      <c r="N176" s="20" t="inlineStr">
        <is>
          <t>Sin correo público</t>
        </is>
      </c>
      <c r="O176" s="20" t="inlineStr">
        <is>
          <t>Pendiente de revisar</t>
        </is>
      </c>
      <c r="P176" s="20" t="inlineStr">
        <is>
          <t>Pendiente de revisión</t>
        </is>
      </c>
      <c r="Q176" s="46" t="n"/>
      <c r="R176" s="20" t="n"/>
      <c r="S176" s="20" t="inlineStr">
        <is>
          <t>Pendiente</t>
        </is>
      </c>
    </row>
    <row r="177" ht="36" customHeight="1">
      <c r="A177" s="21" t="inlineStr">
        <is>
          <t>NX-173</t>
        </is>
      </c>
      <c r="B177" s="17" t="inlineStr">
        <is>
          <t>Panadería Especial</t>
        </is>
      </c>
      <c r="C177" s="20" t="inlineStr">
        <is>
          <t>Alimentos, tiendas y consumo</t>
        </is>
      </c>
      <c r="D177" s="17" t="inlineStr">
        <is>
          <t>Panadería / punto de servicio</t>
        </is>
      </c>
      <c r="E177" s="17" t="n"/>
      <c r="F177" s="17" t="n"/>
      <c r="G177" s="17" t="inlineStr">
        <is>
          <t>Carrera 6 #13-37</t>
        </is>
      </c>
      <c r="H177" s="45" t="n">
        <v>46314</v>
      </c>
      <c r="I177" s="17" t="inlineStr">
        <is>
          <t>Listado Banco Agrario, ene. 2026; sin teléfono, confirmar vigencia.</t>
        </is>
      </c>
      <c r="J177" s="17" t="inlineStr">
        <is>
          <t>https://www.bancoagrario.gov.co/system/files/2026-01/supergiros_0.pdf | https://www.bancoagrario.gov.co/canales-de-atencion/corresponsales</t>
        </is>
      </c>
      <c r="K177" s="17" t="inlineStr">
        <is>
          <t>Fuente: Prospectos_NeXo_La_Dorada_Ampliacion.xlsx</t>
        </is>
      </c>
      <c r="L177" s="19">
        <f>IF($B177="","",SUBSTITUTE(INDEX(Plantillas!$B$6:$B$15,MATCH($C177,Plantillas!$A$6:$A$15,0)),"{NEGOCIO}",$B177))</f>
        <v/>
      </c>
      <c r="M177" s="18">
        <f>IF($B177="","",SUBSTITUTE(INDEX(Plantillas!$C$6:$C$15,MATCH($C177,Plantillas!$A$6:$A$15,0)),"{NEGOCIO}",$B177))</f>
        <v/>
      </c>
      <c r="N177" s="20" t="inlineStr">
        <is>
          <t>Sin correo público</t>
        </is>
      </c>
      <c r="O177" s="20" t="inlineStr">
        <is>
          <t>Pendiente de revisar</t>
        </is>
      </c>
      <c r="P177" s="20" t="inlineStr">
        <is>
          <t>Pendiente de revisión</t>
        </is>
      </c>
      <c r="Q177" s="46" t="n"/>
      <c r="R177" s="20" t="n"/>
      <c r="S177" s="20" t="inlineStr">
        <is>
          <t>Pendiente</t>
        </is>
      </c>
    </row>
    <row r="178" ht="36" customHeight="1">
      <c r="A178" s="21" t="inlineStr">
        <is>
          <t>NX-174</t>
        </is>
      </c>
      <c r="B178" s="17" t="inlineStr">
        <is>
          <t>Panadería Néctar</t>
        </is>
      </c>
      <c r="C178" s="20" t="inlineStr">
        <is>
          <t>Alimentos, tiendas y consumo</t>
        </is>
      </c>
      <c r="D178" s="17" t="inlineStr">
        <is>
          <t>Panadería / punto de servicio</t>
        </is>
      </c>
      <c r="E178" s="17" t="n"/>
      <c r="F178" s="17" t="n"/>
      <c r="G178" s="17" t="inlineStr">
        <is>
          <t>Carrera 6 #15-80</t>
        </is>
      </c>
      <c r="H178" s="45" t="n">
        <v>46314</v>
      </c>
      <c r="I178" s="17" t="inlineStr">
        <is>
          <t>Listado Banco Agrario, ene. 2026; sin teléfono, confirmar vigencia.</t>
        </is>
      </c>
      <c r="J178" s="17" t="inlineStr">
        <is>
          <t>https://www.bancoagrario.gov.co/system/files/2026-01/supergiros_0.pdf | https://www.bancoagrario.gov.co/canales-de-atencion/corresponsales</t>
        </is>
      </c>
      <c r="K178" s="17" t="inlineStr">
        <is>
          <t>Fuente: Prospectos_NeXo_La_Dorada_Ampliacion.xlsx</t>
        </is>
      </c>
      <c r="L178" s="19">
        <f>IF($B178="","",SUBSTITUTE(INDEX(Plantillas!$B$6:$B$15,MATCH($C178,Plantillas!$A$6:$A$15,0)),"{NEGOCIO}",$B178))</f>
        <v/>
      </c>
      <c r="M178" s="18">
        <f>IF($B178="","",SUBSTITUTE(INDEX(Plantillas!$C$6:$C$15,MATCH($C178,Plantillas!$A$6:$A$15,0)),"{NEGOCIO}",$B178))</f>
        <v/>
      </c>
      <c r="N178" s="20" t="inlineStr">
        <is>
          <t>Sin correo público</t>
        </is>
      </c>
      <c r="O178" s="20" t="inlineStr">
        <is>
          <t>Pendiente de revisar</t>
        </is>
      </c>
      <c r="P178" s="20" t="inlineStr">
        <is>
          <t>Pendiente de revisión</t>
        </is>
      </c>
      <c r="Q178" s="46" t="n"/>
      <c r="R178" s="20" t="n"/>
      <c r="S178" s="20" t="inlineStr">
        <is>
          <t>Pendiente</t>
        </is>
      </c>
    </row>
    <row r="179" ht="36" customHeight="1">
      <c r="A179" s="21" t="inlineStr">
        <is>
          <t>NX-175</t>
        </is>
      </c>
      <c r="B179" s="17" t="inlineStr">
        <is>
          <t>Candy Magic Nails</t>
        </is>
      </c>
      <c r="C179" s="20" t="inlineStr">
        <is>
          <t>Belleza y cuidado personal</t>
        </is>
      </c>
      <c r="D179" s="17" t="inlineStr">
        <is>
          <t>Belleza / uñas</t>
        </is>
      </c>
      <c r="E179" s="17" t="n"/>
      <c r="F179" s="17" t="inlineStr">
        <is>
          <t>312 762 1838</t>
        </is>
      </c>
      <c r="G179" s="17" t="inlineStr">
        <is>
          <t>La Dorada (sin calle publicada)</t>
        </is>
      </c>
      <c r="H179" s="45" t="n">
        <v>46314</v>
      </c>
      <c r="I179" s="17" t="inlineStr">
        <is>
          <t>Página del negocio rastreada la semana de consulta (oct. 2026).</t>
        </is>
      </c>
      <c r="J179" s="17" t="inlineStr">
        <is>
          <t>https://candy-magic-nails.ueniweb.com/</t>
        </is>
      </c>
      <c r="K179" s="17" t="inlineStr">
        <is>
          <t>Fuente: Prospectos_NeXo_La_Dorada_Ampliacion.xlsx</t>
        </is>
      </c>
      <c r="L179" s="19">
        <f>IF($B179="","",SUBSTITUTE(INDEX(Plantillas!$B$6:$B$15,MATCH($C179,Plantillas!$A$6:$A$15,0)),"{NEGOCIO}",$B179))</f>
        <v/>
      </c>
      <c r="M179" s="18">
        <f>IF($B179="","",SUBSTITUTE(INDEX(Plantillas!$C$6:$C$15,MATCH($C179,Plantillas!$A$6:$A$15,0)),"{NEGOCIO}",$B179))</f>
        <v/>
      </c>
      <c r="N179" s="20" t="inlineStr">
        <is>
          <t>Sin correo público</t>
        </is>
      </c>
      <c r="O179" s="20" t="inlineStr">
        <is>
          <t>Pendiente de revisar</t>
        </is>
      </c>
      <c r="P179" s="20" t="inlineStr">
        <is>
          <t>Pendiente de revisión</t>
        </is>
      </c>
      <c r="Q179" s="46" t="n"/>
      <c r="R179" s="20" t="n"/>
      <c r="S179" s="20" t="inlineStr">
        <is>
          <t>Pendiente</t>
        </is>
      </c>
    </row>
    <row r="180" ht="36" customHeight="1">
      <c r="A180" s="21" t="inlineStr">
        <is>
          <t>NX-176</t>
        </is>
      </c>
      <c r="B180" s="17" t="inlineStr">
        <is>
          <t>Palomo Barber</t>
        </is>
      </c>
      <c r="C180" s="20" t="inlineStr">
        <is>
          <t>Belleza y cuidado personal</t>
        </is>
      </c>
      <c r="D180" s="17" t="inlineStr">
        <is>
          <t>Barbería</t>
        </is>
      </c>
      <c r="E180" s="17" t="n"/>
      <c r="F180" s="17" t="inlineStr">
        <is>
          <t>313 668 5603</t>
        </is>
      </c>
      <c r="G180" s="17" t="inlineStr">
        <is>
          <t>Calle 43 #03</t>
        </is>
      </c>
      <c r="H180" s="45" t="n">
        <v>46314</v>
      </c>
      <c r="I180" s="17" t="inlineStr">
        <is>
          <t>Directorio de peluquerías rastreado hace ~3 semanas; confirmar dato.</t>
        </is>
      </c>
      <c r="J180" s="17" t="inlineStr">
        <is>
          <t>https://www.pelotendencias.com/caldas/la-dorada/</t>
        </is>
      </c>
      <c r="K180" s="17" t="inlineStr">
        <is>
          <t>Fuente: Prospectos_NeXo_La_Dorada_Ampliacion.xlsx</t>
        </is>
      </c>
      <c r="L180" s="19">
        <f>IF($B180="","",SUBSTITUTE(INDEX(Plantillas!$B$6:$B$15,MATCH($C180,Plantillas!$A$6:$A$15,0)),"{NEGOCIO}",$B180))</f>
        <v/>
      </c>
      <c r="M180" s="18">
        <f>IF($B180="","",SUBSTITUTE(INDEX(Plantillas!$C$6:$C$15,MATCH($C180,Plantillas!$A$6:$A$15,0)),"{NEGOCIO}",$B180))</f>
        <v/>
      </c>
      <c r="N180" s="20" t="inlineStr">
        <is>
          <t>Sin correo público</t>
        </is>
      </c>
      <c r="O180" s="20" t="inlineStr">
        <is>
          <t>Pendiente de revisar</t>
        </is>
      </c>
      <c r="P180" s="20" t="inlineStr">
        <is>
          <t>Pendiente de revisión</t>
        </is>
      </c>
      <c r="Q180" s="46" t="n"/>
      <c r="R180" s="20" t="n"/>
      <c r="S180" s="20" t="inlineStr">
        <is>
          <t>Pendiente</t>
        </is>
      </c>
    </row>
    <row r="181" ht="36" customHeight="1">
      <c r="A181" s="21" t="inlineStr">
        <is>
          <t>NX-177</t>
        </is>
      </c>
      <c r="B181" s="17" t="inlineStr">
        <is>
          <t>Brooklyn Barberías</t>
        </is>
      </c>
      <c r="C181" s="20" t="inlineStr">
        <is>
          <t>Belleza y cuidado personal</t>
        </is>
      </c>
      <c r="D181" s="17" t="inlineStr">
        <is>
          <t>Barbería</t>
        </is>
      </c>
      <c r="E181" s="17" t="n"/>
      <c r="F181" s="17" t="inlineStr">
        <is>
          <t>312 781 2147</t>
        </is>
      </c>
      <c r="G181" s="17" t="inlineStr">
        <is>
          <t>Carrera 6 #16-21</t>
        </is>
      </c>
      <c r="H181" s="45" t="n">
        <v>46314</v>
      </c>
      <c r="I181" s="17" t="inlineStr">
        <is>
          <t>Directorio de peluquerías rastreado hace ~3 semanas; teléfono también aparece asociado a Kaliffa, verificar.</t>
        </is>
      </c>
      <c r="J181" s="17" t="inlineStr">
        <is>
          <t>https://www.pelotendencias.com/caldas/la-dorada/</t>
        </is>
      </c>
      <c r="K181" s="17" t="inlineStr">
        <is>
          <t>Fuente: Prospectos_NeXo_La_Dorada_Ampliacion.xlsx</t>
        </is>
      </c>
      <c r="L181" s="19">
        <f>IF($B181="","",SUBSTITUTE(INDEX(Plantillas!$B$6:$B$15,MATCH($C181,Plantillas!$A$6:$A$15,0)),"{NEGOCIO}",$B181))</f>
        <v/>
      </c>
      <c r="M181" s="18">
        <f>IF($B181="","",SUBSTITUTE(INDEX(Plantillas!$C$6:$C$15,MATCH($C181,Plantillas!$A$6:$A$15,0)),"{NEGOCIO}",$B181))</f>
        <v/>
      </c>
      <c r="N181" s="20" t="inlineStr">
        <is>
          <t>Sin correo público</t>
        </is>
      </c>
      <c r="O181" s="20" t="inlineStr">
        <is>
          <t>Pendiente de revisar</t>
        </is>
      </c>
      <c r="P181" s="20" t="inlineStr">
        <is>
          <t>Pendiente de revisión</t>
        </is>
      </c>
      <c r="Q181" s="46" t="n"/>
      <c r="R181" s="20" t="n"/>
      <c r="S181" s="20" t="inlineStr">
        <is>
          <t>Pendiente</t>
        </is>
      </c>
    </row>
    <row r="182" ht="36" customHeight="1">
      <c r="A182" s="21" t="inlineStr">
        <is>
          <t>NX-178</t>
        </is>
      </c>
      <c r="B182" s="17" t="inlineStr">
        <is>
          <t>Salón de Belleza Sandra’s</t>
        </is>
      </c>
      <c r="C182" s="20" t="inlineStr">
        <is>
          <t>Belleza y cuidado personal</t>
        </is>
      </c>
      <c r="D182" s="17" t="inlineStr">
        <is>
          <t>Belleza / peluquería</t>
        </is>
      </c>
      <c r="E182" s="17" t="n"/>
      <c r="F182" s="17" t="inlineStr">
        <is>
          <t>311 390 5985</t>
        </is>
      </c>
      <c r="G182" s="17" t="inlineStr">
        <is>
          <t>Calle 16 #5-49</t>
        </is>
      </c>
      <c r="H182" s="45" t="n">
        <v>46314</v>
      </c>
      <c r="I182" s="17" t="inlineStr">
        <is>
          <t>Directorio de peluquerías rastreado hace ~3 semanas; confirmar dato.</t>
        </is>
      </c>
      <c r="J182" s="17" t="inlineStr">
        <is>
          <t>https://www.pelotendencias.com/caldas/la-dorada/</t>
        </is>
      </c>
      <c r="K182" s="17" t="inlineStr">
        <is>
          <t>Fuente: Prospectos_NeXo_La_Dorada_Ampliacion.xlsx</t>
        </is>
      </c>
      <c r="L182" s="19">
        <f>IF($B182="","",SUBSTITUTE(INDEX(Plantillas!$B$6:$B$15,MATCH($C182,Plantillas!$A$6:$A$15,0)),"{NEGOCIO}",$B182))</f>
        <v/>
      </c>
      <c r="M182" s="18">
        <f>IF($B182="","",SUBSTITUTE(INDEX(Plantillas!$C$6:$C$15,MATCH($C182,Plantillas!$A$6:$A$15,0)),"{NEGOCIO}",$B182))</f>
        <v/>
      </c>
      <c r="N182" s="20" t="inlineStr">
        <is>
          <t>Sin correo público</t>
        </is>
      </c>
      <c r="O182" s="20" t="inlineStr">
        <is>
          <t>Pendiente de revisar</t>
        </is>
      </c>
      <c r="P182" s="20" t="inlineStr">
        <is>
          <t>Pendiente de revisión</t>
        </is>
      </c>
      <c r="Q182" s="46" t="n"/>
      <c r="R182" s="20" t="n"/>
      <c r="S182" s="20" t="inlineStr">
        <is>
          <t>Pendiente</t>
        </is>
      </c>
    </row>
    <row r="183" ht="36" customHeight="1">
      <c r="A183" s="21" t="inlineStr">
        <is>
          <t>NX-179</t>
        </is>
      </c>
      <c r="B183" s="17" t="inlineStr">
        <is>
          <t>Andrés Vidales Peluquería</t>
        </is>
      </c>
      <c r="C183" s="20" t="inlineStr">
        <is>
          <t>Belleza y cuidado personal</t>
        </is>
      </c>
      <c r="D183" s="17" t="inlineStr">
        <is>
          <t>Peluquería</t>
        </is>
      </c>
      <c r="E183" s="17" t="n"/>
      <c r="F183" s="17" t="inlineStr">
        <is>
          <t>320 366 0561</t>
        </is>
      </c>
      <c r="G183" s="17" t="inlineStr">
        <is>
          <t>Carrera 2 #2-14, barrio Los Andes</t>
        </is>
      </c>
      <c r="H183" s="45" t="n">
        <v>46314</v>
      </c>
      <c r="I183" s="17" t="inlineStr">
        <is>
          <t>Directorio de peluquerías rastreado hace ~3 semanas; confirmar dato.</t>
        </is>
      </c>
      <c r="J183" s="17" t="inlineStr">
        <is>
          <t>https://www.pelotendencias.com/caldas/la-dorada/</t>
        </is>
      </c>
      <c r="K183" s="17" t="inlineStr">
        <is>
          <t>Fuente: Prospectos_NeXo_La_Dorada_Ampliacion.xlsx</t>
        </is>
      </c>
      <c r="L183" s="19">
        <f>IF($B183="","",SUBSTITUTE(INDEX(Plantillas!$B$6:$B$15,MATCH($C183,Plantillas!$A$6:$A$15,0)),"{NEGOCIO}",$B183))</f>
        <v/>
      </c>
      <c r="M183" s="18">
        <f>IF($B183="","",SUBSTITUTE(INDEX(Plantillas!$C$6:$C$15,MATCH($C183,Plantillas!$A$6:$A$15,0)),"{NEGOCIO}",$B183))</f>
        <v/>
      </c>
      <c r="N183" s="20" t="inlineStr">
        <is>
          <t>Sin correo público</t>
        </is>
      </c>
      <c r="O183" s="20" t="inlineStr">
        <is>
          <t>Pendiente de revisar</t>
        </is>
      </c>
      <c r="P183" s="20" t="inlineStr">
        <is>
          <t>Pendiente de revisión</t>
        </is>
      </c>
      <c r="Q183" s="46" t="n"/>
      <c r="R183" s="20" t="n"/>
      <c r="S183" s="20" t="inlineStr">
        <is>
          <t>Pendiente</t>
        </is>
      </c>
    </row>
    <row r="184" ht="36" customHeight="1">
      <c r="A184" s="21" t="inlineStr">
        <is>
          <t>NX-180</t>
        </is>
      </c>
      <c r="B184" s="17" t="inlineStr">
        <is>
          <t>Kaliffa Barber Shop</t>
        </is>
      </c>
      <c r="C184" s="20" t="inlineStr">
        <is>
          <t>Belleza y cuidado personal</t>
        </is>
      </c>
      <c r="D184" s="17" t="inlineStr">
        <is>
          <t>Barbería</t>
        </is>
      </c>
      <c r="E184" s="17" t="n"/>
      <c r="F184" s="17" t="inlineStr">
        <is>
          <t>312 781 2147</t>
        </is>
      </c>
      <c r="G184" s="17" t="inlineStr">
        <is>
          <t>Calle 13 #3-50</t>
        </is>
      </c>
      <c r="H184" s="45" t="n">
        <v>46314</v>
      </c>
      <c r="I184" s="17" t="inlineStr">
        <is>
          <t>Directorio de peluquerías rastreado hace ~3 semanas; comparte teléfono publicado con Brooklyn Barberías, verificar.</t>
        </is>
      </c>
      <c r="J184" s="17" t="inlineStr">
        <is>
          <t>https://www.pelotendencias.com/caldas/la-dorada/</t>
        </is>
      </c>
      <c r="K184" s="17" t="inlineStr">
        <is>
          <t>Fuente: Prospectos_NeXo_La_Dorada_Ampliacion.xlsx</t>
        </is>
      </c>
      <c r="L184" s="19">
        <f>IF($B184="","",SUBSTITUTE(INDEX(Plantillas!$B$6:$B$15,MATCH($C184,Plantillas!$A$6:$A$15,0)),"{NEGOCIO}",$B184))</f>
        <v/>
      </c>
      <c r="M184" s="18">
        <f>IF($B184="","",SUBSTITUTE(INDEX(Plantillas!$C$6:$C$15,MATCH($C184,Plantillas!$A$6:$A$15,0)),"{NEGOCIO}",$B184))</f>
        <v/>
      </c>
      <c r="N184" s="20" t="inlineStr">
        <is>
          <t>Sin correo público</t>
        </is>
      </c>
      <c r="O184" s="20" t="inlineStr">
        <is>
          <t>Pendiente de revisar</t>
        </is>
      </c>
      <c r="P184" s="20" t="inlineStr">
        <is>
          <t>Pendiente de revisión</t>
        </is>
      </c>
      <c r="Q184" s="46" t="n"/>
      <c r="R184" s="20" t="n"/>
      <c r="S184" s="20" t="inlineStr">
        <is>
          <t>Pendiente</t>
        </is>
      </c>
    </row>
    <row r="185" ht="36" customHeight="1">
      <c r="A185" s="21" t="inlineStr">
        <is>
          <t>NX-181</t>
        </is>
      </c>
      <c r="B185" s="17" t="inlineStr">
        <is>
          <t>Hollywood Nails Beauty, Spa &amp; Beer</t>
        </is>
      </c>
      <c r="C185" s="20" t="inlineStr">
        <is>
          <t>Belleza y cuidado personal</t>
        </is>
      </c>
      <c r="D185" s="17" t="inlineStr">
        <is>
          <t>Belleza / uñas / peluquería</t>
        </is>
      </c>
      <c r="E185" s="17" t="n"/>
      <c r="F185" s="17" t="inlineStr">
        <is>
          <t>313 538 4131</t>
        </is>
      </c>
      <c r="G185" s="17" t="inlineStr">
        <is>
          <t>Carrera 3 #16-02</t>
        </is>
      </c>
      <c r="H185" s="45" t="n">
        <v>46314</v>
      </c>
      <c r="I185" s="17" t="inlineStr">
        <is>
          <t>Directorio de peluquerías rastreado hace ~3 semanas; confirmar dato.</t>
        </is>
      </c>
      <c r="J185" s="17" t="inlineStr">
        <is>
          <t>https://www.pelotendencias.com/caldas/la-dorada/</t>
        </is>
      </c>
      <c r="K185" s="17" t="inlineStr">
        <is>
          <t>Fuente: Prospectos_NeXo_La_Dorada_Ampliacion.xlsx</t>
        </is>
      </c>
      <c r="L185" s="19">
        <f>IF($B185="","",SUBSTITUTE(INDEX(Plantillas!$B$6:$B$15,MATCH($C185,Plantillas!$A$6:$A$15,0)),"{NEGOCIO}",$B185))</f>
        <v/>
      </c>
      <c r="M185" s="18">
        <f>IF($B185="","",SUBSTITUTE(INDEX(Plantillas!$C$6:$C$15,MATCH($C185,Plantillas!$A$6:$A$15,0)),"{NEGOCIO}",$B185))</f>
        <v/>
      </c>
      <c r="N185" s="20" t="inlineStr">
        <is>
          <t>Sin correo público</t>
        </is>
      </c>
      <c r="O185" s="20" t="inlineStr">
        <is>
          <t>Pendiente de revisar</t>
        </is>
      </c>
      <c r="P185" s="20" t="inlineStr">
        <is>
          <t>Pendiente de revisión</t>
        </is>
      </c>
      <c r="Q185" s="46" t="n"/>
      <c r="R185" s="20" t="n"/>
      <c r="S185" s="20" t="inlineStr">
        <is>
          <t>Pendiente</t>
        </is>
      </c>
    </row>
    <row r="186" ht="36" customHeight="1">
      <c r="A186" s="21" t="inlineStr">
        <is>
          <t>NX-182</t>
        </is>
      </c>
      <c r="B186" s="17" t="inlineStr">
        <is>
          <t>Peluquería Dianacris</t>
        </is>
      </c>
      <c r="C186" s="20" t="inlineStr">
        <is>
          <t>Belleza y cuidado personal</t>
        </is>
      </c>
      <c r="D186" s="17" t="inlineStr">
        <is>
          <t>Peluquería</t>
        </is>
      </c>
      <c r="E186" s="17" t="n"/>
      <c r="F186" s="17" t="inlineStr">
        <is>
          <t>311 749 1602</t>
        </is>
      </c>
      <c r="G186" s="17" t="inlineStr">
        <is>
          <t>Calle 45 #6B-02</t>
        </is>
      </c>
      <c r="H186" s="45" t="n">
        <v>46314</v>
      </c>
      <c r="I186" s="17" t="inlineStr">
        <is>
          <t>Directorio de peluquerías rastreado hace ~3 semanas; confirmar dato.</t>
        </is>
      </c>
      <c r="J186" s="17" t="inlineStr">
        <is>
          <t>https://www.pelotendencias.com/caldas/la-dorada/</t>
        </is>
      </c>
      <c r="K186" s="17" t="inlineStr">
        <is>
          <t>Fuente: Prospectos_NeXo_La_Dorada_Ampliacion.xlsx</t>
        </is>
      </c>
      <c r="L186" s="19">
        <f>IF($B186="","",SUBSTITUTE(INDEX(Plantillas!$B$6:$B$15,MATCH($C186,Plantillas!$A$6:$A$15,0)),"{NEGOCIO}",$B186))</f>
        <v/>
      </c>
      <c r="M186" s="18">
        <f>IF($B186="","",SUBSTITUTE(INDEX(Plantillas!$C$6:$C$15,MATCH($C186,Plantillas!$A$6:$A$15,0)),"{NEGOCIO}",$B186))</f>
        <v/>
      </c>
      <c r="N186" s="20" t="inlineStr">
        <is>
          <t>Sin correo público</t>
        </is>
      </c>
      <c r="O186" s="20" t="inlineStr">
        <is>
          <t>Pendiente de revisar</t>
        </is>
      </c>
      <c r="P186" s="20" t="inlineStr">
        <is>
          <t>Pendiente de revisión</t>
        </is>
      </c>
      <c r="Q186" s="46" t="n"/>
      <c r="R186" s="20" t="n"/>
      <c r="S186" s="20" t="inlineStr">
        <is>
          <t>Pendiente</t>
        </is>
      </c>
    </row>
    <row r="187" ht="36" customHeight="1">
      <c r="A187" s="21" t="inlineStr">
        <is>
          <t>NX-183</t>
        </is>
      </c>
      <c r="B187" s="17" t="inlineStr">
        <is>
          <t>Barbería VIP DyJ</t>
        </is>
      </c>
      <c r="C187" s="20" t="inlineStr">
        <is>
          <t>Belleza y cuidado personal</t>
        </is>
      </c>
      <c r="D187" s="17" t="inlineStr">
        <is>
          <t>Barbería</t>
        </is>
      </c>
      <c r="E187" s="17" t="n"/>
      <c r="F187" s="17" t="inlineStr">
        <is>
          <t>322 877 2934</t>
        </is>
      </c>
      <c r="G187" s="17" t="inlineStr">
        <is>
          <t>Carrera 6 #16-63</t>
        </is>
      </c>
      <c r="H187" s="45" t="n">
        <v>46314</v>
      </c>
      <c r="I187" s="17" t="inlineStr">
        <is>
          <t>Directorio de peluquerías rastreado hace ~3 semanas; confirmar dato.</t>
        </is>
      </c>
      <c r="J187" s="17" t="inlineStr">
        <is>
          <t>https://www.pelotendencias.com/caldas/la-dorada/</t>
        </is>
      </c>
      <c r="K187" s="17" t="inlineStr">
        <is>
          <t>Fuente: Prospectos_NeXo_La_Dorada_Ampliacion.xlsx</t>
        </is>
      </c>
      <c r="L187" s="19">
        <f>IF($B187="","",SUBSTITUTE(INDEX(Plantillas!$B$6:$B$15,MATCH($C187,Plantillas!$A$6:$A$15,0)),"{NEGOCIO}",$B187))</f>
        <v/>
      </c>
      <c r="M187" s="18">
        <f>IF($B187="","",SUBSTITUTE(INDEX(Plantillas!$C$6:$C$15,MATCH($C187,Plantillas!$A$6:$A$15,0)),"{NEGOCIO}",$B187))</f>
        <v/>
      </c>
      <c r="N187" s="20" t="inlineStr">
        <is>
          <t>Sin correo público</t>
        </is>
      </c>
      <c r="O187" s="20" t="inlineStr">
        <is>
          <t>Pendiente de revisar</t>
        </is>
      </c>
      <c r="P187" s="20" t="inlineStr">
        <is>
          <t>Pendiente de revisión</t>
        </is>
      </c>
      <c r="Q187" s="46" t="n"/>
      <c r="R187" s="20" t="n"/>
      <c r="S187" s="20" t="inlineStr">
        <is>
          <t>Pendiente</t>
        </is>
      </c>
    </row>
    <row r="188" ht="36" customHeight="1">
      <c r="A188" s="21" t="inlineStr">
        <is>
          <t>NX-184</t>
        </is>
      </c>
      <c r="B188" s="17" t="inlineStr">
        <is>
          <t>Félix Rodríguez Barberías</t>
        </is>
      </c>
      <c r="C188" s="20" t="inlineStr">
        <is>
          <t>Belleza y cuidado personal</t>
        </is>
      </c>
      <c r="D188" s="17" t="inlineStr">
        <is>
          <t>Barbería</t>
        </is>
      </c>
      <c r="E188" s="17" t="n"/>
      <c r="F188" s="17" t="inlineStr">
        <is>
          <t>322 942 0027</t>
        </is>
      </c>
      <c r="G188" s="17" t="inlineStr">
        <is>
          <t>Carrera 2 #16-71-1</t>
        </is>
      </c>
      <c r="H188" s="45" t="n">
        <v>46314</v>
      </c>
      <c r="I188" s="17" t="inlineStr">
        <is>
          <t>Directorio de peluquerías rastreado hace ~3 semanas; confirmar nomenclatura de dirección.</t>
        </is>
      </c>
      <c r="J188" s="17" t="inlineStr">
        <is>
          <t>https://www.pelotendencias.com/caldas/la-dorada/</t>
        </is>
      </c>
      <c r="K188" s="17" t="inlineStr">
        <is>
          <t>Fuente: Prospectos_NeXo_La_Dorada_Ampliacion.xlsx</t>
        </is>
      </c>
      <c r="L188" s="19">
        <f>IF($B188="","",SUBSTITUTE(INDEX(Plantillas!$B$6:$B$15,MATCH($C188,Plantillas!$A$6:$A$15,0)),"{NEGOCIO}",$B188))</f>
        <v/>
      </c>
      <c r="M188" s="18">
        <f>IF($B188="","",SUBSTITUTE(INDEX(Plantillas!$C$6:$C$15,MATCH($C188,Plantillas!$A$6:$A$15,0)),"{NEGOCIO}",$B188))</f>
        <v/>
      </c>
      <c r="N188" s="20" t="inlineStr">
        <is>
          <t>Sin correo público</t>
        </is>
      </c>
      <c r="O188" s="20" t="inlineStr">
        <is>
          <t>Pendiente de revisar</t>
        </is>
      </c>
      <c r="P188" s="20" t="inlineStr">
        <is>
          <t>Pendiente de revisión</t>
        </is>
      </c>
      <c r="Q188" s="46" t="n"/>
      <c r="R188" s="20" t="n"/>
      <c r="S188" s="20" t="inlineStr">
        <is>
          <t>Pendiente</t>
        </is>
      </c>
    </row>
    <row r="189" ht="36" customHeight="1">
      <c r="A189" s="21" t="inlineStr">
        <is>
          <t>NX-185</t>
        </is>
      </c>
      <c r="B189" s="17" t="inlineStr">
        <is>
          <t>Laureles Barbería</t>
        </is>
      </c>
      <c r="C189" s="20" t="inlineStr">
        <is>
          <t>Belleza y cuidado personal</t>
        </is>
      </c>
      <c r="D189" s="17" t="inlineStr">
        <is>
          <t>Barbería</t>
        </is>
      </c>
      <c r="E189" s="17" t="n"/>
      <c r="F189" s="17" t="inlineStr">
        <is>
          <t>314 817 3430</t>
        </is>
      </c>
      <c r="G189" s="17" t="inlineStr">
        <is>
          <t>Carrera 2 #29-13</t>
        </is>
      </c>
      <c r="H189" s="45" t="n">
        <v>46314</v>
      </c>
      <c r="I189" s="17" t="inlineStr">
        <is>
          <t>Directorio de belleza rastreado hace ~5 meses; confirmar vigencia.</t>
        </is>
      </c>
      <c r="J189" s="17" t="inlineStr">
        <is>
          <t>https://es.cybo.com/CO/la-dorada-%28caldas%29/belleza-y-spas/</t>
        </is>
      </c>
      <c r="K189" s="17" t="inlineStr">
        <is>
          <t>Fuente: Prospectos_NeXo_La_Dorada_Ampliacion.xlsx</t>
        </is>
      </c>
      <c r="L189" s="19">
        <f>IF($B189="","",SUBSTITUTE(INDEX(Plantillas!$B$6:$B$15,MATCH($C189,Plantillas!$A$6:$A$15,0)),"{NEGOCIO}",$B189))</f>
        <v/>
      </c>
      <c r="M189" s="18">
        <f>IF($B189="","",SUBSTITUTE(INDEX(Plantillas!$C$6:$C$15,MATCH($C189,Plantillas!$A$6:$A$15,0)),"{NEGOCIO}",$B189))</f>
        <v/>
      </c>
      <c r="N189" s="20" t="inlineStr">
        <is>
          <t>Sin correo público</t>
        </is>
      </c>
      <c r="O189" s="20" t="inlineStr">
        <is>
          <t>Pendiente de revisar</t>
        </is>
      </c>
      <c r="P189" s="20" t="inlineStr">
        <is>
          <t>Pendiente de revisión</t>
        </is>
      </c>
      <c r="Q189" s="46" t="n"/>
      <c r="R189" s="20" t="n"/>
      <c r="S189" s="20" t="inlineStr">
        <is>
          <t>Pendiente</t>
        </is>
      </c>
    </row>
    <row r="190" ht="36" customHeight="1">
      <c r="A190" s="21" t="inlineStr">
        <is>
          <t>NX-186</t>
        </is>
      </c>
      <c r="B190" s="17" t="inlineStr">
        <is>
          <t>Estética Mary Nails</t>
        </is>
      </c>
      <c r="C190" s="20" t="inlineStr">
        <is>
          <t>Belleza y cuidado personal</t>
        </is>
      </c>
      <c r="D190" s="17" t="inlineStr">
        <is>
          <t>Belleza / uñas</t>
        </is>
      </c>
      <c r="E190" s="17" t="n"/>
      <c r="F190" s="17" t="inlineStr">
        <is>
          <t>300 408 2453</t>
        </is>
      </c>
      <c r="G190" s="17" t="inlineStr">
        <is>
          <t>Calle 12 #6-11</t>
        </is>
      </c>
      <c r="H190" s="45" t="n">
        <v>46314</v>
      </c>
      <c r="I190" s="17" t="inlineStr">
        <is>
          <t>Directorio de belleza rastreado hace ~5 meses; confirmar vigencia.</t>
        </is>
      </c>
      <c r="J190" s="17" t="inlineStr">
        <is>
          <t>https://es.cybo.com/CO/la-dorada-%28caldas%29/belleza-y-spas/</t>
        </is>
      </c>
      <c r="K190" s="17" t="inlineStr">
        <is>
          <t>Fuente: Prospectos_NeXo_La_Dorada_Ampliacion.xlsx</t>
        </is>
      </c>
      <c r="L190" s="19">
        <f>IF($B190="","",SUBSTITUTE(INDEX(Plantillas!$B$6:$B$15,MATCH($C190,Plantillas!$A$6:$A$15,0)),"{NEGOCIO}",$B190))</f>
        <v/>
      </c>
      <c r="M190" s="18">
        <f>IF($B190="","",SUBSTITUTE(INDEX(Plantillas!$C$6:$C$15,MATCH($C190,Plantillas!$A$6:$A$15,0)),"{NEGOCIO}",$B190))</f>
        <v/>
      </c>
      <c r="N190" s="20" t="inlineStr">
        <is>
          <t>Sin correo público</t>
        </is>
      </c>
      <c r="O190" s="20" t="inlineStr">
        <is>
          <t>Pendiente de revisar</t>
        </is>
      </c>
      <c r="P190" s="20" t="inlineStr">
        <is>
          <t>Pendiente de revisión</t>
        </is>
      </c>
      <c r="Q190" s="46" t="n"/>
      <c r="R190" s="20" t="n"/>
      <c r="S190" s="20" t="inlineStr">
        <is>
          <t>Pendiente</t>
        </is>
      </c>
    </row>
    <row r="191" ht="36" customHeight="1">
      <c r="A191" s="21" t="inlineStr">
        <is>
          <t>NX-187</t>
        </is>
      </c>
      <c r="B191" s="17" t="inlineStr">
        <is>
          <t>Lash Be Lash</t>
        </is>
      </c>
      <c r="C191" s="20" t="inlineStr">
        <is>
          <t>Belleza y cuidado personal</t>
        </is>
      </c>
      <c r="D191" s="17" t="inlineStr">
        <is>
          <t>Belleza / pestañas</t>
        </is>
      </c>
      <c r="E191" s="17" t="n"/>
      <c r="F191" s="17" t="inlineStr">
        <is>
          <t>319 629 5433</t>
        </is>
      </c>
      <c r="G191" s="17" t="inlineStr">
        <is>
          <t>Calle 9 #5-26, local 3</t>
        </is>
      </c>
      <c r="H191" s="45" t="n">
        <v>46314</v>
      </c>
      <c r="I191" s="17" t="inlineStr">
        <is>
          <t>Directorio de belleza rastreado hace ~5 meses; confirmar vigencia.</t>
        </is>
      </c>
      <c r="J191" s="17" t="inlineStr">
        <is>
          <t>https://es.cybo.com/CO/la-dorada-%28caldas%29/belleza-y-spas/</t>
        </is>
      </c>
      <c r="K191" s="17" t="inlineStr">
        <is>
          <t>Fuente: Prospectos_NeXo_La_Dorada_Ampliacion.xlsx</t>
        </is>
      </c>
      <c r="L191" s="19">
        <f>IF($B191="","",SUBSTITUTE(INDEX(Plantillas!$B$6:$B$15,MATCH($C191,Plantillas!$A$6:$A$15,0)),"{NEGOCIO}",$B191))</f>
        <v/>
      </c>
      <c r="M191" s="18">
        <f>IF($B191="","",SUBSTITUTE(INDEX(Plantillas!$C$6:$C$15,MATCH($C191,Plantillas!$A$6:$A$15,0)),"{NEGOCIO}",$B191))</f>
        <v/>
      </c>
      <c r="N191" s="20" t="inlineStr">
        <is>
          <t>Sin correo público</t>
        </is>
      </c>
      <c r="O191" s="20" t="inlineStr">
        <is>
          <t>Pendiente de revisar</t>
        </is>
      </c>
      <c r="P191" s="20" t="inlineStr">
        <is>
          <t>Pendiente de revisión</t>
        </is>
      </c>
      <c r="Q191" s="46" t="n"/>
      <c r="R191" s="20" t="n"/>
      <c r="S191" s="20" t="inlineStr">
        <is>
          <t>Pendiente</t>
        </is>
      </c>
    </row>
    <row r="192" ht="36" customHeight="1">
      <c r="A192" s="21" t="inlineStr">
        <is>
          <t>NX-188</t>
        </is>
      </c>
      <c r="B192" s="17" t="inlineStr">
        <is>
          <t>Spa Nails Aleja Ortega</t>
        </is>
      </c>
      <c r="C192" s="20" t="inlineStr">
        <is>
          <t>Belleza y cuidado personal</t>
        </is>
      </c>
      <c r="D192" s="17" t="inlineStr">
        <is>
          <t>Belleza / uñas</t>
        </is>
      </c>
      <c r="E192" s="17" t="n"/>
      <c r="F192" s="17" t="inlineStr">
        <is>
          <t>321 646 7534</t>
        </is>
      </c>
      <c r="G192" s="17" t="inlineStr">
        <is>
          <t>Calle 16B #16-08, sector La Pavimentada</t>
        </is>
      </c>
      <c r="H192" s="45" t="n">
        <v>46314</v>
      </c>
      <c r="I192" s="17" t="inlineStr">
        <is>
          <t>Waze rastreado hace ~3 meses; Cybo publica otro número (300 649 5748), confirmar antes de usar.</t>
        </is>
      </c>
      <c r="J192" s="17" t="inlineStr">
        <is>
          <t>https://www.waze.com/live-map/directions/co/caldas/la-dorada/spa-nails-aleja-ortega?to=place.ChIJ74qsNALfQI4RPVnBo3QlrOE | https://es.cybo.com/CO/la-dorada-%28caldas%29/belleza-y-spas/</t>
        </is>
      </c>
      <c r="K192" s="17" t="inlineStr">
        <is>
          <t>Fuente: Prospectos_NeXo_La_Dorada_Ampliacion.xlsx</t>
        </is>
      </c>
      <c r="L192" s="19">
        <f>IF($B192="","",SUBSTITUTE(INDEX(Plantillas!$B$6:$B$15,MATCH($C192,Plantillas!$A$6:$A$15,0)),"{NEGOCIO}",$B192))</f>
        <v/>
      </c>
      <c r="M192" s="18">
        <f>IF($B192="","",SUBSTITUTE(INDEX(Plantillas!$C$6:$C$15,MATCH($C192,Plantillas!$A$6:$A$15,0)),"{NEGOCIO}",$B192))</f>
        <v/>
      </c>
      <c r="N192" s="20" t="inlineStr">
        <is>
          <t>Sin correo público</t>
        </is>
      </c>
      <c r="O192" s="20" t="inlineStr">
        <is>
          <t>Pendiente de revisar</t>
        </is>
      </c>
      <c r="P192" s="20" t="inlineStr">
        <is>
          <t>Pendiente de revisión</t>
        </is>
      </c>
      <c r="Q192" s="46" t="n"/>
      <c r="R192" s="20" t="n"/>
      <c r="S192" s="20" t="inlineStr">
        <is>
          <t>Pendiente</t>
        </is>
      </c>
    </row>
    <row r="193" ht="36" customHeight="1">
      <c r="A193" s="21" t="inlineStr">
        <is>
          <t>NX-189</t>
        </is>
      </c>
      <c r="B193" s="17" t="inlineStr">
        <is>
          <t>Elda Muñoz Spa &amp; Peluquería</t>
        </is>
      </c>
      <c r="C193" s="20" t="inlineStr">
        <is>
          <t>Belleza y cuidado personal</t>
        </is>
      </c>
      <c r="D193" s="17" t="inlineStr">
        <is>
          <t>Belleza / spa</t>
        </is>
      </c>
      <c r="E193" s="17" t="n"/>
      <c r="F193" s="17" t="inlineStr">
        <is>
          <t>314 888 5538</t>
        </is>
      </c>
      <c r="G193" s="17" t="inlineStr">
        <is>
          <t>Carrera 2 #9-58</t>
        </is>
      </c>
      <c r="H193" s="45" t="n">
        <v>46314</v>
      </c>
      <c r="I193" s="17" t="inlineStr">
        <is>
          <t>Directorio comercial rastreado hace ~3 meses; confirmar vigencia.</t>
        </is>
      </c>
      <c r="J193" s="17" t="inlineStr">
        <is>
          <t>https://es.cybo.com/CO-biz/elda-mu%C3%B1oz-spa-peluqueria</t>
        </is>
      </c>
      <c r="K193" s="17" t="inlineStr">
        <is>
          <t>Fuente: Prospectos_NeXo_La_Dorada_Ampliacion.xlsx</t>
        </is>
      </c>
      <c r="L193" s="19">
        <f>IF($B193="","",SUBSTITUTE(INDEX(Plantillas!$B$6:$B$15,MATCH($C193,Plantillas!$A$6:$A$15,0)),"{NEGOCIO}",$B193))</f>
        <v/>
      </c>
      <c r="M193" s="18">
        <f>IF($B193="","",SUBSTITUTE(INDEX(Plantillas!$C$6:$C$15,MATCH($C193,Plantillas!$A$6:$A$15,0)),"{NEGOCIO}",$B193))</f>
        <v/>
      </c>
      <c r="N193" s="20" t="inlineStr">
        <is>
          <t>Sin correo público</t>
        </is>
      </c>
      <c r="O193" s="20" t="inlineStr">
        <is>
          <t>Pendiente de revisar</t>
        </is>
      </c>
      <c r="P193" s="20" t="inlineStr">
        <is>
          <t>Pendiente de revisión</t>
        </is>
      </c>
      <c r="Q193" s="46" t="n"/>
      <c r="R193" s="20" t="n"/>
      <c r="S193" s="20" t="inlineStr">
        <is>
          <t>Pendiente</t>
        </is>
      </c>
    </row>
    <row r="194" ht="36" customHeight="1">
      <c r="A194" s="21" t="inlineStr">
        <is>
          <t>NX-190</t>
        </is>
      </c>
      <c r="B194" s="17" t="inlineStr">
        <is>
          <t>Claumar Nails Spa &amp; Boutique</t>
        </is>
      </c>
      <c r="C194" s="20" t="inlineStr">
        <is>
          <t>Belleza y cuidado personal</t>
        </is>
      </c>
      <c r="D194" s="17" t="inlineStr">
        <is>
          <t>Belleza / uñas</t>
        </is>
      </c>
      <c r="E194" s="17" t="n"/>
      <c r="F194" s="17" t="n"/>
      <c r="G194" s="17" t="inlineStr">
        <is>
          <t>Carrera 6 #10-51</t>
        </is>
      </c>
      <c r="H194" s="45" t="n">
        <v>46314</v>
      </c>
      <c r="I194" s="17" t="inlineStr">
        <is>
          <t>Fresha rastreado hace pocos días; sitio propio/directorio confirma dirección pero no mostró teléfono.</t>
        </is>
      </c>
      <c r="J194" s="17" t="inlineStr">
        <is>
          <t>https://www.fresha.com/es/a/claumar-nails-spa-and-boutique-la-dorada-carrera-6-10-51-tfbvpg34 | https://claumarnailsspa.com/</t>
        </is>
      </c>
      <c r="K194" s="17" t="inlineStr">
        <is>
          <t>Fuente: Prospectos_NeXo_La_Dorada_Ampliacion.xlsx</t>
        </is>
      </c>
      <c r="L194" s="19">
        <f>IF($B194="","",SUBSTITUTE(INDEX(Plantillas!$B$6:$B$15,MATCH($C194,Plantillas!$A$6:$A$15,0)),"{NEGOCIO}",$B194))</f>
        <v/>
      </c>
      <c r="M194" s="18">
        <f>IF($B194="","",SUBSTITUTE(INDEX(Plantillas!$C$6:$C$15,MATCH($C194,Plantillas!$A$6:$A$15,0)),"{NEGOCIO}",$B194))</f>
        <v/>
      </c>
      <c r="N194" s="20" t="inlineStr">
        <is>
          <t>Sin correo público</t>
        </is>
      </c>
      <c r="O194" s="20" t="inlineStr">
        <is>
          <t>Pendiente de revisar</t>
        </is>
      </c>
      <c r="P194" s="20" t="inlineStr">
        <is>
          <t>Pendiente de revisión</t>
        </is>
      </c>
      <c r="Q194" s="46" t="n"/>
      <c r="R194" s="20" t="n"/>
      <c r="S194" s="20" t="inlineStr">
        <is>
          <t>Pendiente</t>
        </is>
      </c>
    </row>
    <row r="195" ht="36" customHeight="1">
      <c r="A195" s="21" t="inlineStr">
        <is>
          <t>NX-191</t>
        </is>
      </c>
      <c r="B195" s="17" t="inlineStr">
        <is>
          <t>Insumos Dorada</t>
        </is>
      </c>
      <c r="C195" s="20" t="inlineStr">
        <is>
          <t>Belleza y cuidado personal</t>
        </is>
      </c>
      <c r="D195" s="17" t="inlineStr">
        <is>
          <t>Comercio / insumos de belleza</t>
        </is>
      </c>
      <c r="E195" s="17" t="inlineStr">
        <is>
          <t>insumosdorada@gmail.com</t>
        </is>
      </c>
      <c r="F195" s="17" t="inlineStr">
        <is>
          <t>300 157 1339</t>
        </is>
      </c>
      <c r="G195" s="17" t="inlineStr">
        <is>
          <t>Carrera 6 #12-41</t>
        </is>
      </c>
      <c r="H195" s="45" t="n">
        <v>46314</v>
      </c>
      <c r="I195" s="17" t="inlineStr">
        <is>
          <t>Sitio propio activo; rastreado la semana de consulta (oct. 2026).</t>
        </is>
      </c>
      <c r="J195" s="17" t="inlineStr">
        <is>
          <t>https://insumosdorada.com/</t>
        </is>
      </c>
      <c r="K195" s="17" t="inlineStr">
        <is>
          <t>Fuente: Prospectos_NeXo_La_Dorada_Ampliacion.xlsx</t>
        </is>
      </c>
      <c r="L195" s="19">
        <f>IF($B195="","",SUBSTITUTE(INDEX(Plantillas!$B$6:$B$15,MATCH($C195,Plantillas!$A$6:$A$15,0)),"{NEGOCIO}",$B195))</f>
        <v/>
      </c>
      <c r="M195" s="18">
        <f>IF($B195="","",SUBSTITUTE(INDEX(Plantillas!$C$6:$C$15,MATCH($C195,Plantillas!$A$6:$A$15,0)),"{NEGOCIO}",$B195))</f>
        <v/>
      </c>
      <c r="N195" s="20" t="inlineStr">
        <is>
          <t>Pendiente de verificar</t>
        </is>
      </c>
      <c r="O195" s="20" t="inlineStr">
        <is>
          <t>Pendiente de revisar</t>
        </is>
      </c>
      <c r="P195" s="20" t="inlineStr">
        <is>
          <t>Pendiente de revisión</t>
        </is>
      </c>
      <c r="Q195" s="46" t="n"/>
      <c r="R195" s="20" t="n"/>
      <c r="S195" s="20" t="inlineStr">
        <is>
          <t>Pendiente</t>
        </is>
      </c>
    </row>
    <row r="196" ht="36" customHeight="1">
      <c r="A196" s="21" t="inlineStr">
        <is>
          <t>NX-192</t>
        </is>
      </c>
      <c r="B196" s="17" t="inlineStr">
        <is>
          <t>Tienda La Dorada - Organic Nails</t>
        </is>
      </c>
      <c r="C196" s="20" t="inlineStr">
        <is>
          <t>Belleza y cuidado personal</t>
        </is>
      </c>
      <c r="D196" s="17" t="inlineStr">
        <is>
          <t>Comercio / belleza</t>
        </is>
      </c>
      <c r="E196" s="17" t="n"/>
      <c r="F196" s="17" t="inlineStr">
        <is>
          <t>321 432 6939</t>
        </is>
      </c>
      <c r="G196" s="17" t="inlineStr">
        <is>
          <t>Calle 12 #5-16</t>
        </is>
      </c>
      <c r="H196" s="45" t="n">
        <v>46314</v>
      </c>
      <c r="I196" s="17" t="inlineStr">
        <is>
          <t>Directorio oficial de puntos de venta rastreado hoy (oct. 2026).</t>
        </is>
      </c>
      <c r="J196" s="17" t="inlineStr">
        <is>
          <t>https://directorio.organicnailscolombia.com/places/tienda-la-dorada/</t>
        </is>
      </c>
      <c r="K196" s="17" t="inlineStr">
        <is>
          <t>Fuente: Prospectos_NeXo_La_Dorada_Ampliacion.xlsx</t>
        </is>
      </c>
      <c r="L196" s="19">
        <f>IF($B196="","",SUBSTITUTE(INDEX(Plantillas!$B$6:$B$15,MATCH($C196,Plantillas!$A$6:$A$15,0)),"{NEGOCIO}",$B196))</f>
        <v/>
      </c>
      <c r="M196" s="18">
        <f>IF($B196="","",SUBSTITUTE(INDEX(Plantillas!$C$6:$C$15,MATCH($C196,Plantillas!$A$6:$A$15,0)),"{NEGOCIO}",$B196))</f>
        <v/>
      </c>
      <c r="N196" s="20" t="inlineStr">
        <is>
          <t>Sin correo público</t>
        </is>
      </c>
      <c r="O196" s="20" t="inlineStr">
        <is>
          <t>Pendiente de revisar</t>
        </is>
      </c>
      <c r="P196" s="20" t="inlineStr">
        <is>
          <t>Pendiente de revisión</t>
        </is>
      </c>
      <c r="Q196" s="46" t="n"/>
      <c r="R196" s="20" t="n"/>
      <c r="S196" s="20" t="inlineStr">
        <is>
          <t>Pendiente</t>
        </is>
      </c>
    </row>
    <row r="197" ht="36" customHeight="1">
      <c r="A197" s="21" t="inlineStr">
        <is>
          <t>NX-193</t>
        </is>
      </c>
      <c r="B197" s="17" t="inlineStr">
        <is>
          <t>Calzado Andretty</t>
        </is>
      </c>
      <c r="C197" s="20" t="inlineStr">
        <is>
          <t>Moda, calzado y accesorios</t>
        </is>
      </c>
      <c r="D197" s="17" t="inlineStr">
        <is>
          <t>Calzado / zapatería</t>
        </is>
      </c>
      <c r="E197" s="17" t="n"/>
      <c r="F197" s="17" t="inlineStr">
        <is>
          <t>604 511 8199</t>
        </is>
      </c>
      <c r="G197" s="17" t="inlineStr">
        <is>
          <t>Carrera 5 #14-57</t>
        </is>
      </c>
      <c r="H197" s="45" t="n">
        <v>46314</v>
      </c>
      <c r="I197" s="17" t="inlineStr">
        <is>
          <t>Localizador oficial de distribuidores rastreado hace menos de 1 semana.</t>
        </is>
      </c>
      <c r="J197" s="17" t="inlineStr">
        <is>
          <t>https://calzadoromulo.com/NuestrasTiendasLista.php?departamento=Caldas</t>
        </is>
      </c>
      <c r="K197" s="17" t="inlineStr">
        <is>
          <t>Fuente: Prospectos_NeXo_La_Dorada_Ampliacion.xlsx</t>
        </is>
      </c>
      <c r="L197" s="19">
        <f>IF($B197="","",SUBSTITUTE(INDEX(Plantillas!$B$6:$B$15,MATCH($C197,Plantillas!$A$6:$A$15,0)),"{NEGOCIO}",$B197))</f>
        <v/>
      </c>
      <c r="M197" s="18">
        <f>IF($B197="","",SUBSTITUTE(INDEX(Plantillas!$C$6:$C$15,MATCH($C197,Plantillas!$A$6:$A$15,0)),"{NEGOCIO}",$B197))</f>
        <v/>
      </c>
      <c r="N197" s="20" t="inlineStr">
        <is>
          <t>Sin correo público</t>
        </is>
      </c>
      <c r="O197" s="20" t="inlineStr">
        <is>
          <t>Pendiente de revisar</t>
        </is>
      </c>
      <c r="P197" s="20" t="inlineStr">
        <is>
          <t>Pendiente de revisión</t>
        </is>
      </c>
      <c r="Q197" s="46" t="n"/>
      <c r="R197" s="20" t="n"/>
      <c r="S197" s="20" t="inlineStr">
        <is>
          <t>Pendiente</t>
        </is>
      </c>
    </row>
    <row r="198" ht="36" customHeight="1">
      <c r="A198" s="21" t="inlineStr">
        <is>
          <t>NX-194</t>
        </is>
      </c>
      <c r="B198" s="17" t="inlineStr">
        <is>
          <t>Calzado Exclusivo Nancy</t>
        </is>
      </c>
      <c r="C198" s="20" t="inlineStr">
        <is>
          <t>Moda, calzado y accesorios</t>
        </is>
      </c>
      <c r="D198" s="17" t="inlineStr">
        <is>
          <t>Calzado / zapatería</t>
        </is>
      </c>
      <c r="E198" s="17" t="n"/>
      <c r="F198" s="17" t="inlineStr">
        <is>
          <t>320 690 3740</t>
        </is>
      </c>
      <c r="G198" s="17" t="inlineStr">
        <is>
          <t>Calle 15 #3-32</t>
        </is>
      </c>
      <c r="H198" s="45" t="n">
        <v>46314</v>
      </c>
      <c r="I198" s="17" t="inlineStr">
        <is>
          <t>Localizador oficial de distribuidores rastreado hace menos de 1 semana.</t>
        </is>
      </c>
      <c r="J198" s="17" t="inlineStr">
        <is>
          <t>https://calzadoromulo.com/NuestrasTiendasLista.php?departamento=Caldas</t>
        </is>
      </c>
      <c r="K198" s="17" t="inlineStr">
        <is>
          <t>Fuente: Prospectos_NeXo_La_Dorada_Ampliacion.xlsx</t>
        </is>
      </c>
      <c r="L198" s="19">
        <f>IF($B198="","",SUBSTITUTE(INDEX(Plantillas!$B$6:$B$15,MATCH($C198,Plantillas!$A$6:$A$15,0)),"{NEGOCIO}",$B198))</f>
        <v/>
      </c>
      <c r="M198" s="18">
        <f>IF($B198="","",SUBSTITUTE(INDEX(Plantillas!$C$6:$C$15,MATCH($C198,Plantillas!$A$6:$A$15,0)),"{NEGOCIO}",$B198))</f>
        <v/>
      </c>
      <c r="N198" s="20" t="inlineStr">
        <is>
          <t>Sin correo público</t>
        </is>
      </c>
      <c r="O198" s="20" t="inlineStr">
        <is>
          <t>Pendiente de revisar</t>
        </is>
      </c>
      <c r="P198" s="20" t="inlineStr">
        <is>
          <t>Pendiente de revisión</t>
        </is>
      </c>
      <c r="Q198" s="46" t="n"/>
      <c r="R198" s="20" t="n"/>
      <c r="S198" s="20" t="inlineStr">
        <is>
          <t>Pendiente</t>
        </is>
      </c>
    </row>
    <row r="199" ht="36" customHeight="1">
      <c r="A199" s="21" t="inlineStr">
        <is>
          <t>NX-195</t>
        </is>
      </c>
      <c r="B199" s="17" t="inlineStr">
        <is>
          <t>agstore_dorada</t>
        </is>
      </c>
      <c r="C199" s="20" t="inlineStr">
        <is>
          <t>Moda, calzado y accesorios</t>
        </is>
      </c>
      <c r="D199" s="17" t="inlineStr">
        <is>
          <t>Ropa / boutique</t>
        </is>
      </c>
      <c r="E199" s="17" t="n"/>
      <c r="F199" s="17" t="inlineStr">
        <is>
          <t>313 283 6197</t>
        </is>
      </c>
      <c r="G199" s="17" t="inlineStr">
        <is>
          <t>Calle 20 #10-10</t>
        </is>
      </c>
      <c r="H199" s="45" t="n">
        <v>46314</v>
      </c>
      <c r="I199" s="17" t="inlineStr">
        <is>
          <t>Datos de Google Maps consignados el 25-09-2026; fuente rastreada la semana pasada.</t>
        </is>
      </c>
      <c r="J199" s="17" t="inlineStr">
        <is>
          <t>https://cerca.red/negocio/agstore-dorada</t>
        </is>
      </c>
      <c r="K199" s="17" t="inlineStr">
        <is>
          <t>Fuente: Prospectos_NeXo_La_Dorada_Ampliacion.xlsx</t>
        </is>
      </c>
      <c r="L199" s="19">
        <f>IF($B199="","",SUBSTITUTE(INDEX(Plantillas!$B$6:$B$15,MATCH($C199,Plantillas!$A$6:$A$15,0)),"{NEGOCIO}",$B199))</f>
        <v/>
      </c>
      <c r="M199" s="18">
        <f>IF($B199="","",SUBSTITUTE(INDEX(Plantillas!$C$6:$C$15,MATCH($C199,Plantillas!$A$6:$A$15,0)),"{NEGOCIO}",$B199))</f>
        <v/>
      </c>
      <c r="N199" s="20" t="inlineStr">
        <is>
          <t>Sin correo público</t>
        </is>
      </c>
      <c r="O199" s="20" t="inlineStr">
        <is>
          <t>Pendiente de revisar</t>
        </is>
      </c>
      <c r="P199" s="20" t="inlineStr">
        <is>
          <t>Pendiente de revisión</t>
        </is>
      </c>
      <c r="Q199" s="46" t="n"/>
      <c r="R199" s="20" t="n"/>
      <c r="S199" s="20" t="inlineStr">
        <is>
          <t>Pendiente</t>
        </is>
      </c>
    </row>
    <row r="200" ht="36" customHeight="1">
      <c r="A200" s="21" t="inlineStr">
        <is>
          <t>NX-196</t>
        </is>
      </c>
      <c r="B200" s="17" t="inlineStr">
        <is>
          <t>D’ Moda</t>
        </is>
      </c>
      <c r="C200" s="20" t="inlineStr">
        <is>
          <t>Moda, calzado y accesorios</t>
        </is>
      </c>
      <c r="D200" s="17" t="inlineStr">
        <is>
          <t>Ropa / boutique</t>
        </is>
      </c>
      <c r="E200" s="17" t="n"/>
      <c r="F200" s="17" t="inlineStr">
        <is>
          <t>311 769 7770 / 318 576 9798</t>
        </is>
      </c>
      <c r="G200" s="17" t="inlineStr">
        <is>
          <t>La Dorada (sin dirección publicada en la ficha)</t>
        </is>
      </c>
      <c r="H200" s="45" t="n">
        <v>46314</v>
      </c>
      <c r="I200" s="17" t="inlineStr">
        <is>
          <t>Directorio rastreado hace ~2 meses; muestra dos teléfonos para la misma ficha, confirmar.</t>
        </is>
      </c>
      <c r="J200" s="17" t="inlineStr">
        <is>
          <t>https://es.cybo.com/CO/la-dorada-%28caldas%29/tiendas-de-ropa</t>
        </is>
      </c>
      <c r="K200" s="17" t="inlineStr">
        <is>
          <t>Fuente: Prospectos_NeXo_La_Dorada_Ampliacion.xlsx</t>
        </is>
      </c>
      <c r="L200" s="19">
        <f>IF($B200="","",SUBSTITUTE(INDEX(Plantillas!$B$6:$B$15,MATCH($C200,Plantillas!$A$6:$A$15,0)),"{NEGOCIO}",$B200))</f>
        <v/>
      </c>
      <c r="M200" s="18">
        <f>IF($B200="","",SUBSTITUTE(INDEX(Plantillas!$C$6:$C$15,MATCH($C200,Plantillas!$A$6:$A$15,0)),"{NEGOCIO}",$B200))</f>
        <v/>
      </c>
      <c r="N200" s="20" t="inlineStr">
        <is>
          <t>Sin correo público</t>
        </is>
      </c>
      <c r="O200" s="20" t="inlineStr">
        <is>
          <t>Pendiente de revisar</t>
        </is>
      </c>
      <c r="P200" s="20" t="inlineStr">
        <is>
          <t>Pendiente de revisión</t>
        </is>
      </c>
      <c r="Q200" s="46" t="n"/>
      <c r="R200" s="20" t="n"/>
      <c r="S200" s="20" t="inlineStr">
        <is>
          <t>Pendiente</t>
        </is>
      </c>
    </row>
    <row r="201" ht="36" customHeight="1">
      <c r="A201" s="21" t="inlineStr">
        <is>
          <t>NX-197</t>
        </is>
      </c>
      <c r="B201" s="17" t="inlineStr">
        <is>
          <t>Mujeres, Variedades y Estilos</t>
        </is>
      </c>
      <c r="C201" s="20" t="inlineStr">
        <is>
          <t>Moda, calzado y accesorios</t>
        </is>
      </c>
      <c r="D201" s="17" t="inlineStr">
        <is>
          <t>Ropa / variedades</t>
        </is>
      </c>
      <c r="E201" s="17" t="n"/>
      <c r="F201" s="17" t="inlineStr">
        <is>
          <t>321 624 0579</t>
        </is>
      </c>
      <c r="G201" s="17" t="inlineStr">
        <is>
          <t>Calle 12 #5-31</t>
        </is>
      </c>
      <c r="H201" s="45" t="n">
        <v>46314</v>
      </c>
      <c r="I201" s="17" t="inlineStr">
        <is>
          <t>Directorio de ropa rastreado hace ~2 meses; confirmar vigencia.</t>
        </is>
      </c>
      <c r="J201" s="17" t="inlineStr">
        <is>
          <t>https://es.cybo.com/CO/la-dorada-%28caldas%29/tiendas-de-ropa</t>
        </is>
      </c>
      <c r="K201" s="17" t="inlineStr">
        <is>
          <t>Fuente: Prospectos_NeXo_La_Dorada_Ampliacion.xlsx</t>
        </is>
      </c>
      <c r="L201" s="19">
        <f>IF($B201="","",SUBSTITUTE(INDEX(Plantillas!$B$6:$B$15,MATCH($C201,Plantillas!$A$6:$A$15,0)),"{NEGOCIO}",$B201))</f>
        <v/>
      </c>
      <c r="M201" s="18">
        <f>IF($B201="","",SUBSTITUTE(INDEX(Plantillas!$C$6:$C$15,MATCH($C201,Plantillas!$A$6:$A$15,0)),"{NEGOCIO}",$B201))</f>
        <v/>
      </c>
      <c r="N201" s="20" t="inlineStr">
        <is>
          <t>Sin correo público</t>
        </is>
      </c>
      <c r="O201" s="20" t="inlineStr">
        <is>
          <t>Pendiente de revisar</t>
        </is>
      </c>
      <c r="P201" s="20" t="inlineStr">
        <is>
          <t>Pendiente de revisión</t>
        </is>
      </c>
      <c r="Q201" s="46" t="n"/>
      <c r="R201" s="20" t="n"/>
      <c r="S201" s="20" t="inlineStr">
        <is>
          <t>Pendiente</t>
        </is>
      </c>
    </row>
    <row r="202" ht="36" customHeight="1">
      <c r="A202" s="21" t="inlineStr">
        <is>
          <t>NX-198</t>
        </is>
      </c>
      <c r="B202" s="17" t="inlineStr">
        <is>
          <t>La Bodega</t>
        </is>
      </c>
      <c r="C202" s="20" t="inlineStr">
        <is>
          <t>Moda, calzado y accesorios</t>
        </is>
      </c>
      <c r="D202" s="17" t="inlineStr">
        <is>
          <t>Ropa / boutique</t>
        </is>
      </c>
      <c r="E202" s="17" t="n"/>
      <c r="F202" s="17" t="inlineStr">
        <is>
          <t>316 352 1143</t>
        </is>
      </c>
      <c r="G202" s="17" t="inlineStr">
        <is>
          <t>Carrera 6 #12-13</t>
        </is>
      </c>
      <c r="H202" s="45" t="n">
        <v>46314</v>
      </c>
      <c r="I202" s="17" t="inlineStr">
        <is>
          <t>Directorio rastreado hace ~2 meses; comparte teléfono/dirección publicados con Vil Fit.</t>
        </is>
      </c>
      <c r="J202" s="17" t="inlineStr">
        <is>
          <t>https://es.cybo.com/CO/la-dorada-%28caldas%29/tiendas-de-ropa</t>
        </is>
      </c>
      <c r="K202" s="17" t="inlineStr">
        <is>
          <t>Fuente: Prospectos_NeXo_La_Dorada_Ampliacion.xlsx</t>
        </is>
      </c>
      <c r="L202" s="19">
        <f>IF($B202="","",SUBSTITUTE(INDEX(Plantillas!$B$6:$B$15,MATCH($C202,Plantillas!$A$6:$A$15,0)),"{NEGOCIO}",$B202))</f>
        <v/>
      </c>
      <c r="M202" s="18">
        <f>IF($B202="","",SUBSTITUTE(INDEX(Plantillas!$C$6:$C$15,MATCH($C202,Plantillas!$A$6:$A$15,0)),"{NEGOCIO}",$B202))</f>
        <v/>
      </c>
      <c r="N202" s="20" t="inlineStr">
        <is>
          <t>Sin correo público</t>
        </is>
      </c>
      <c r="O202" s="20" t="inlineStr">
        <is>
          <t>Pendiente de revisar</t>
        </is>
      </c>
      <c r="P202" s="20" t="inlineStr">
        <is>
          <t>Pendiente de revisión</t>
        </is>
      </c>
      <c r="Q202" s="46" t="n"/>
      <c r="R202" s="20" t="n"/>
      <c r="S202" s="20" t="inlineStr">
        <is>
          <t>Pendiente</t>
        </is>
      </c>
    </row>
    <row r="203" ht="36" customHeight="1">
      <c r="A203" s="21" t="inlineStr">
        <is>
          <t>NX-199</t>
        </is>
      </c>
      <c r="B203" s="17" t="inlineStr">
        <is>
          <t>Vil Fit</t>
        </is>
      </c>
      <c r="C203" s="20" t="inlineStr">
        <is>
          <t>Moda, calzado y accesorios</t>
        </is>
      </c>
      <c r="D203" s="17" t="inlineStr">
        <is>
          <t>Ropa / deporte</t>
        </is>
      </c>
      <c r="E203" s="17" t="n"/>
      <c r="F203" s="17" t="inlineStr">
        <is>
          <t>316 352 1143</t>
        </is>
      </c>
      <c r="G203" s="17" t="inlineStr">
        <is>
          <t>Carrera 6 #12-13</t>
        </is>
      </c>
      <c r="H203" s="45" t="n">
        <v>46314</v>
      </c>
      <c r="I203" s="17" t="inlineStr">
        <is>
          <t>Directorio rastreado hace ~2 meses; comparte teléfono/dirección publicados con La Bodega.</t>
        </is>
      </c>
      <c r="J203" s="17" t="inlineStr">
        <is>
          <t>https://es.cybo.com/CO/la-dorada-%28caldas%29/tiendas-de-ropa</t>
        </is>
      </c>
      <c r="K203" s="17" t="inlineStr">
        <is>
          <t>Fuente: Prospectos_NeXo_La_Dorada_Ampliacion.xlsx</t>
        </is>
      </c>
      <c r="L203" s="19">
        <f>IF($B203="","",SUBSTITUTE(INDEX(Plantillas!$B$6:$B$15,MATCH($C203,Plantillas!$A$6:$A$15,0)),"{NEGOCIO}",$B203))</f>
        <v/>
      </c>
      <c r="M203" s="18">
        <f>IF($B203="","",SUBSTITUTE(INDEX(Plantillas!$C$6:$C$15,MATCH($C203,Plantillas!$A$6:$A$15,0)),"{NEGOCIO}",$B203))</f>
        <v/>
      </c>
      <c r="N203" s="20" t="inlineStr">
        <is>
          <t>Sin correo público</t>
        </is>
      </c>
      <c r="O203" s="20" t="inlineStr">
        <is>
          <t>Pendiente de revisar</t>
        </is>
      </c>
      <c r="P203" s="20" t="inlineStr">
        <is>
          <t>Pendiente de revisión</t>
        </is>
      </c>
      <c r="Q203" s="46" t="n"/>
      <c r="R203" s="20" t="n"/>
      <c r="S203" s="20" t="inlineStr">
        <is>
          <t>Pendiente</t>
        </is>
      </c>
    </row>
    <row r="204" ht="36" customHeight="1">
      <c r="A204" s="21" t="inlineStr">
        <is>
          <t>NX-200</t>
        </is>
      </c>
      <c r="B204" s="17" t="inlineStr">
        <is>
          <t>The Place - Tienda &amp; Accesorios</t>
        </is>
      </c>
      <c r="C204" s="20" t="inlineStr">
        <is>
          <t>Moda, calzado y accesorios</t>
        </is>
      </c>
      <c r="D204" s="17" t="inlineStr">
        <is>
          <t>Accesorios / ropa</t>
        </is>
      </c>
      <c r="E204" s="17" t="n"/>
      <c r="F204" s="17" t="inlineStr">
        <is>
          <t>310 406 2109</t>
        </is>
      </c>
      <c r="G204" s="17" t="inlineStr">
        <is>
          <t>Carrera 6 #12-15, Centro (la ficha indica apto. 201; confirmar local)</t>
        </is>
      </c>
      <c r="H204" s="45" t="n">
        <v>46314</v>
      </c>
      <c r="I204" s="17" t="inlineStr">
        <is>
          <t>Directorio rastreado hace ~2 meses; validar si atiende en punto físico.</t>
        </is>
      </c>
      <c r="J204" s="17" t="inlineStr">
        <is>
          <t>https://es.cybo.com/CO/la-dorada-%28caldas%29/tiendas-de-ropa</t>
        </is>
      </c>
      <c r="K204" s="17" t="inlineStr">
        <is>
          <t>Fuente: Prospectos_NeXo_La_Dorada_Ampliacion.xlsx</t>
        </is>
      </c>
      <c r="L204" s="19">
        <f>IF($B204="","",SUBSTITUTE(INDEX(Plantillas!$B$6:$B$15,MATCH($C204,Plantillas!$A$6:$A$15,0)),"{NEGOCIO}",$B204))</f>
        <v/>
      </c>
      <c r="M204" s="18">
        <f>IF($B204="","",SUBSTITUTE(INDEX(Plantillas!$C$6:$C$15,MATCH($C204,Plantillas!$A$6:$A$15,0)),"{NEGOCIO}",$B204))</f>
        <v/>
      </c>
      <c r="N204" s="20" t="inlineStr">
        <is>
          <t>Sin correo público</t>
        </is>
      </c>
      <c r="O204" s="20" t="inlineStr">
        <is>
          <t>Pendiente de revisar</t>
        </is>
      </c>
      <c r="P204" s="20" t="inlineStr">
        <is>
          <t>Pendiente de revisión</t>
        </is>
      </c>
      <c r="Q204" s="46" t="n"/>
      <c r="R204" s="20" t="n"/>
      <c r="S204" s="20" t="inlineStr">
        <is>
          <t>Pendiente</t>
        </is>
      </c>
    </row>
    <row r="205" ht="36" customHeight="1">
      <c r="A205" s="21" t="inlineStr">
        <is>
          <t>NX-201</t>
        </is>
      </c>
      <c r="B205" s="17" t="inlineStr">
        <is>
          <t>Tienda VO5</t>
        </is>
      </c>
      <c r="C205" s="20" t="inlineStr">
        <is>
          <t>Moda, calzado y accesorios</t>
        </is>
      </c>
      <c r="D205" s="17" t="inlineStr">
        <is>
          <t>Ropa / boutique</t>
        </is>
      </c>
      <c r="E205" s="17" t="n"/>
      <c r="F205" s="17" t="inlineStr">
        <is>
          <t>606 837 0092</t>
        </is>
      </c>
      <c r="G205" s="17" t="inlineStr">
        <is>
          <t>Carrera 4 #13-14, local 01</t>
        </is>
      </c>
      <c r="H205" s="45" t="n">
        <v>46314</v>
      </c>
      <c r="I205" s="17" t="inlineStr">
        <is>
          <t>Directorio comercial rastreado hace ~2 meses; confirmar teléfono.</t>
        </is>
      </c>
      <c r="J205" s="17" t="inlineStr">
        <is>
          <t>https://es.cybo.com/CO/la-dorada-%28caldas%29/tiendas-de-ropa</t>
        </is>
      </c>
      <c r="K205" s="17" t="inlineStr">
        <is>
          <t>Fuente: Prospectos_NeXo_La_Dorada_Ampliacion.xlsx</t>
        </is>
      </c>
      <c r="L205" s="19">
        <f>IF($B205="","",SUBSTITUTE(INDEX(Plantillas!$B$6:$B$15,MATCH($C205,Plantillas!$A$6:$A$15,0)),"{NEGOCIO}",$B205))</f>
        <v/>
      </c>
      <c r="M205" s="18">
        <f>IF($B205="","",SUBSTITUTE(INDEX(Plantillas!$C$6:$C$15,MATCH($C205,Plantillas!$A$6:$A$15,0)),"{NEGOCIO}",$B205))</f>
        <v/>
      </c>
      <c r="N205" s="20" t="inlineStr">
        <is>
          <t>Sin correo público</t>
        </is>
      </c>
      <c r="O205" s="20" t="inlineStr">
        <is>
          <t>Pendiente de revisar</t>
        </is>
      </c>
      <c r="P205" s="20" t="inlineStr">
        <is>
          <t>Pendiente de revisión</t>
        </is>
      </c>
      <c r="Q205" s="46" t="n"/>
      <c r="R205" s="20" t="n"/>
      <c r="S205" s="20" t="inlineStr">
        <is>
          <t>Pendiente</t>
        </is>
      </c>
    </row>
    <row r="206" ht="36" customHeight="1">
      <c r="A206" s="21" t="inlineStr">
        <is>
          <t>NX-202</t>
        </is>
      </c>
      <c r="B206" s="17" t="inlineStr">
        <is>
          <t>Quest La Dorada</t>
        </is>
      </c>
      <c r="C206" s="20" t="inlineStr">
        <is>
          <t>Moda, calzado y accesorios</t>
        </is>
      </c>
      <c r="D206" s="17" t="inlineStr">
        <is>
          <t>Ropa</t>
        </is>
      </c>
      <c r="E206" s="17" t="n"/>
      <c r="F206" s="17" t="inlineStr">
        <is>
          <t>324 566 8875</t>
        </is>
      </c>
      <c r="G206" s="17" t="inlineStr">
        <is>
          <t>Carrera 5 #14-20</t>
        </is>
      </c>
      <c r="H206" s="45" t="n">
        <v>46314</v>
      </c>
      <c r="I206" s="17" t="inlineStr">
        <is>
          <t>Directorio rastreado hace ~2 meses; confirmar vigencia.</t>
        </is>
      </c>
      <c r="J206" s="17" t="inlineStr">
        <is>
          <t>https://es.cybo.com/CO/la-dorada-%28caldas%29/tiendas-de-ropa</t>
        </is>
      </c>
      <c r="K206" s="17" t="inlineStr">
        <is>
          <t>Fuente: Prospectos_NeXo_La_Dorada_Ampliacion.xlsx</t>
        </is>
      </c>
      <c r="L206" s="19">
        <f>IF($B206="","",SUBSTITUTE(INDEX(Plantillas!$B$6:$B$15,MATCH($C206,Plantillas!$A$6:$A$15,0)),"{NEGOCIO}",$B206))</f>
        <v/>
      </c>
      <c r="M206" s="18">
        <f>IF($B206="","",SUBSTITUTE(INDEX(Plantillas!$C$6:$C$15,MATCH($C206,Plantillas!$A$6:$A$15,0)),"{NEGOCIO}",$B206))</f>
        <v/>
      </c>
      <c r="N206" s="20" t="inlineStr">
        <is>
          <t>Sin correo público</t>
        </is>
      </c>
      <c r="O206" s="20" t="inlineStr">
        <is>
          <t>Pendiente de revisar</t>
        </is>
      </c>
      <c r="P206" s="20" t="inlineStr">
        <is>
          <t>Pendiente de revisión</t>
        </is>
      </c>
      <c r="Q206" s="46" t="n"/>
      <c r="R206" s="20" t="n"/>
      <c r="S206" s="20" t="inlineStr">
        <is>
          <t>Pendiente</t>
        </is>
      </c>
    </row>
    <row r="207" ht="36" customHeight="1">
      <c r="A207" s="21" t="inlineStr">
        <is>
          <t>NX-203</t>
        </is>
      </c>
      <c r="B207" s="17" t="inlineStr">
        <is>
          <t>Alta Moda Dorada SAS</t>
        </is>
      </c>
      <c r="C207" s="20" t="inlineStr">
        <is>
          <t>Moda, calzado y accesorios</t>
        </is>
      </c>
      <c r="D207" s="17" t="inlineStr">
        <is>
          <t>Ropa / boutique</t>
        </is>
      </c>
      <c r="E207" s="17" t="n"/>
      <c r="F207" s="17" t="inlineStr">
        <is>
          <t>606 837 0378</t>
        </is>
      </c>
      <c r="G207" s="17" t="inlineStr">
        <is>
          <t>Dirección de la ficha aparece inconsistente: Calle 15 #5-106 / #5-35</t>
        </is>
      </c>
      <c r="H207" s="45" t="n">
        <v>46314</v>
      </c>
      <c r="I207" s="17" t="inlineStr">
        <is>
          <t>Directorio rastreado hace ~5 meses; confirmar dirección y teléfono.</t>
        </is>
      </c>
      <c r="J207" s="17" t="inlineStr">
        <is>
          <t>https://es.cybo.com/CO/la-dorada-%28caldas%29/tiendas-de-ropa</t>
        </is>
      </c>
      <c r="K207" s="17" t="inlineStr">
        <is>
          <t>Fuente: Prospectos_NeXo_La_Dorada_Ampliacion.xlsx</t>
        </is>
      </c>
      <c r="L207" s="19">
        <f>IF($B207="","",SUBSTITUTE(INDEX(Plantillas!$B$6:$B$15,MATCH($C207,Plantillas!$A$6:$A$15,0)),"{NEGOCIO}",$B207))</f>
        <v/>
      </c>
      <c r="M207" s="18">
        <f>IF($B207="","",SUBSTITUTE(INDEX(Plantillas!$C$6:$C$15,MATCH($C207,Plantillas!$A$6:$A$15,0)),"{NEGOCIO}",$B207))</f>
        <v/>
      </c>
      <c r="N207" s="20" t="inlineStr">
        <is>
          <t>Sin correo público</t>
        </is>
      </c>
      <c r="O207" s="20" t="inlineStr">
        <is>
          <t>Pendiente de revisar</t>
        </is>
      </c>
      <c r="P207" s="20" t="inlineStr">
        <is>
          <t>Pendiente de revisión</t>
        </is>
      </c>
      <c r="Q207" s="46" t="n"/>
      <c r="R207" s="20" t="n"/>
      <c r="S207" s="20" t="inlineStr">
        <is>
          <t>Pendiente</t>
        </is>
      </c>
    </row>
    <row r="208" ht="36" customHeight="1">
      <c r="A208" s="21" t="inlineStr">
        <is>
          <t>NX-204</t>
        </is>
      </c>
      <c r="B208" s="17" t="inlineStr">
        <is>
          <t>Chiroloco Caldas</t>
        </is>
      </c>
      <c r="C208" s="20" t="inlineStr">
        <is>
          <t>Moda, calzado y accesorios</t>
        </is>
      </c>
      <c r="D208" s="17" t="inlineStr">
        <is>
          <t>Ropa / accesorios</t>
        </is>
      </c>
      <c r="E208" s="17" t="n"/>
      <c r="F208" s="17" t="inlineStr">
        <is>
          <t>310 825 3866</t>
        </is>
      </c>
      <c r="G208" s="17" t="inlineStr">
        <is>
          <t>Carrera 6 #14-2</t>
        </is>
      </c>
      <c r="H208" s="45" t="n">
        <v>46314</v>
      </c>
      <c r="I208" s="17" t="inlineStr">
        <is>
          <t>Directorio rastreado hace ~5 meses; confirmar dirección y vigencia.</t>
        </is>
      </c>
      <c r="J208" s="17" t="inlineStr">
        <is>
          <t>https://www.cybo.com/CO/la-dorada-caldas/clothing-stores/</t>
        </is>
      </c>
      <c r="K208" s="17" t="inlineStr">
        <is>
          <t>Fuente: Prospectos_NeXo_La_Dorada_Ampliacion.xlsx</t>
        </is>
      </c>
      <c r="L208" s="19">
        <f>IF($B208="","",SUBSTITUTE(INDEX(Plantillas!$B$6:$B$15,MATCH($C208,Plantillas!$A$6:$A$15,0)),"{NEGOCIO}",$B208))</f>
        <v/>
      </c>
      <c r="M208" s="18">
        <f>IF($B208="","",SUBSTITUTE(INDEX(Plantillas!$C$6:$C$15,MATCH($C208,Plantillas!$A$6:$A$15,0)),"{NEGOCIO}",$B208))</f>
        <v/>
      </c>
      <c r="N208" s="20" t="inlineStr">
        <is>
          <t>Sin correo público</t>
        </is>
      </c>
      <c r="O208" s="20" t="inlineStr">
        <is>
          <t>Pendiente de revisar</t>
        </is>
      </c>
      <c r="P208" s="20" t="inlineStr">
        <is>
          <t>Pendiente de revisión</t>
        </is>
      </c>
      <c r="Q208" s="46" t="n"/>
      <c r="R208" s="20" t="n"/>
      <c r="S208" s="20" t="inlineStr">
        <is>
          <t>Pendiente</t>
        </is>
      </c>
    </row>
    <row r="209" ht="36" customHeight="1">
      <c r="A209" s="21" t="inlineStr">
        <is>
          <t>NX-205</t>
        </is>
      </c>
      <c r="B209" s="17" t="inlineStr">
        <is>
          <t>Talabartería Vera</t>
        </is>
      </c>
      <c r="C209" s="20" t="inlineStr">
        <is>
          <t>Moda, calzado y accesorios</t>
        </is>
      </c>
      <c r="D209" s="17" t="inlineStr">
        <is>
          <t>Talabartería / cuero</t>
        </is>
      </c>
      <c r="E209" s="17" t="n"/>
      <c r="F209" s="17" t="inlineStr">
        <is>
          <t>311 600 0139</t>
        </is>
      </c>
      <c r="G209" s="17" t="inlineStr">
        <is>
          <t>Carrera 2 #17-80</t>
        </is>
      </c>
      <c r="H209" s="45" t="n">
        <v>46314</v>
      </c>
      <c r="I209" s="17" t="inlineStr">
        <is>
          <t>Directorio rastreado hace ~5 meses; confirmar vigencia.</t>
        </is>
      </c>
      <c r="J209" s="17" t="inlineStr">
        <is>
          <t>https://www.cybo.com/CO/la-dorada-caldas/clothing-stores/</t>
        </is>
      </c>
      <c r="K209" s="17" t="inlineStr">
        <is>
          <t>Fuente: Prospectos_NeXo_La_Dorada_Ampliacion.xlsx</t>
        </is>
      </c>
      <c r="L209" s="19">
        <f>IF($B209="","",SUBSTITUTE(INDEX(Plantillas!$B$6:$B$15,MATCH($C209,Plantillas!$A$6:$A$15,0)),"{NEGOCIO}",$B209))</f>
        <v/>
      </c>
      <c r="M209" s="18">
        <f>IF($B209="","",SUBSTITUTE(INDEX(Plantillas!$C$6:$C$15,MATCH($C209,Plantillas!$A$6:$A$15,0)),"{NEGOCIO}",$B209))</f>
        <v/>
      </c>
      <c r="N209" s="20" t="inlineStr">
        <is>
          <t>Sin correo público</t>
        </is>
      </c>
      <c r="O209" s="20" t="inlineStr">
        <is>
          <t>Pendiente de revisar</t>
        </is>
      </c>
      <c r="P209" s="20" t="inlineStr">
        <is>
          <t>Pendiente de revisión</t>
        </is>
      </c>
      <c r="Q209" s="46" t="n"/>
      <c r="R209" s="20" t="n"/>
      <c r="S209" s="20" t="inlineStr">
        <is>
          <t>Pendiente</t>
        </is>
      </c>
    </row>
    <row r="210" ht="36" customHeight="1">
      <c r="A210" s="21" t="inlineStr">
        <is>
          <t>NX-206</t>
        </is>
      </c>
      <c r="B210" s="17" t="inlineStr">
        <is>
          <t>Amarella Boutique</t>
        </is>
      </c>
      <c r="C210" s="20" t="inlineStr">
        <is>
          <t>Moda, calzado y accesorios</t>
        </is>
      </c>
      <c r="D210" s="17" t="inlineStr">
        <is>
          <t>Ropa / boutique</t>
        </is>
      </c>
      <c r="E210" s="17" t="n"/>
      <c r="F210" s="17" t="inlineStr">
        <is>
          <t>322 311 7238</t>
        </is>
      </c>
      <c r="G210" s="17" t="inlineStr">
        <is>
          <t>Carrera 5, entre calles 15 y 16</t>
        </is>
      </c>
      <c r="H210" s="45" t="n">
        <v>46314</v>
      </c>
      <c r="I210" s="17" t="inlineStr">
        <is>
          <t>Directorio rastreado hace ~5 meses; dirección aproximada, confirmar.</t>
        </is>
      </c>
      <c r="J210" s="17" t="inlineStr">
        <is>
          <t>https://www.cybo.com/CO/la-dorada-caldas/clothing-stores/</t>
        </is>
      </c>
      <c r="K210" s="17" t="inlineStr">
        <is>
          <t>Fuente: Prospectos_NeXo_La_Dorada_Ampliacion.xlsx</t>
        </is>
      </c>
      <c r="L210" s="19">
        <f>IF($B210="","",SUBSTITUTE(INDEX(Plantillas!$B$6:$B$15,MATCH($C210,Plantillas!$A$6:$A$15,0)),"{NEGOCIO}",$B210))</f>
        <v/>
      </c>
      <c r="M210" s="18">
        <f>IF($B210="","",SUBSTITUTE(INDEX(Plantillas!$C$6:$C$15,MATCH($C210,Plantillas!$A$6:$A$15,0)),"{NEGOCIO}",$B210))</f>
        <v/>
      </c>
      <c r="N210" s="20" t="inlineStr">
        <is>
          <t>Sin correo público</t>
        </is>
      </c>
      <c r="O210" s="20" t="inlineStr">
        <is>
          <t>Pendiente de revisar</t>
        </is>
      </c>
      <c r="P210" s="20" t="inlineStr">
        <is>
          <t>Pendiente de revisión</t>
        </is>
      </c>
      <c r="Q210" s="46" t="n"/>
      <c r="R210" s="20" t="n"/>
      <c r="S210" s="20" t="inlineStr">
        <is>
          <t>Pendiente</t>
        </is>
      </c>
    </row>
    <row r="211" ht="36" customHeight="1">
      <c r="A211" s="21" t="inlineStr">
        <is>
          <t>NX-207</t>
        </is>
      </c>
      <c r="B211" s="17" t="inlineStr">
        <is>
          <t>Variedades Noah</t>
        </is>
      </c>
      <c r="C211" s="20" t="inlineStr">
        <is>
          <t>Moda, calzado y accesorios</t>
        </is>
      </c>
      <c r="D211" s="17" t="inlineStr">
        <is>
          <t>Ropa / variedades</t>
        </is>
      </c>
      <c r="E211" s="17" t="n"/>
      <c r="F211" s="17" t="inlineStr">
        <is>
          <t>314 784 0258</t>
        </is>
      </c>
      <c r="G211" s="17" t="inlineStr">
        <is>
          <t>Calle 46 #5B-18</t>
        </is>
      </c>
      <c r="H211" s="45" t="n">
        <v>46314</v>
      </c>
      <c r="I211" s="17" t="inlineStr">
        <is>
          <t>Directorio rastreado hace ~5 meses; confirmar vigencia.</t>
        </is>
      </c>
      <c r="J211" s="17" t="inlineStr">
        <is>
          <t>https://www.cybo.com/CO/la-dorada-caldas/clothing-stores/</t>
        </is>
      </c>
      <c r="K211" s="17" t="inlineStr">
        <is>
          <t>Fuente: Prospectos_NeXo_La_Dorada_Ampliacion.xlsx</t>
        </is>
      </c>
      <c r="L211" s="19">
        <f>IF($B211="","",SUBSTITUTE(INDEX(Plantillas!$B$6:$B$15,MATCH($C211,Plantillas!$A$6:$A$15,0)),"{NEGOCIO}",$B211))</f>
        <v/>
      </c>
      <c r="M211" s="18">
        <f>IF($B211="","",SUBSTITUTE(INDEX(Plantillas!$C$6:$C$15,MATCH($C211,Plantillas!$A$6:$A$15,0)),"{NEGOCIO}",$B211))</f>
        <v/>
      </c>
      <c r="N211" s="20" t="inlineStr">
        <is>
          <t>Sin correo público</t>
        </is>
      </c>
      <c r="O211" s="20" t="inlineStr">
        <is>
          <t>Pendiente de revisar</t>
        </is>
      </c>
      <c r="P211" s="20" t="inlineStr">
        <is>
          <t>Pendiente de revisión</t>
        </is>
      </c>
      <c r="Q211" s="46" t="n"/>
      <c r="R211" s="20" t="n"/>
      <c r="S211" s="20" t="inlineStr">
        <is>
          <t>Pendiente</t>
        </is>
      </c>
    </row>
    <row r="212" ht="36" customHeight="1">
      <c r="A212" s="21" t="inlineStr">
        <is>
          <t>NX-208</t>
        </is>
      </c>
      <c r="B212" s="17" t="inlineStr">
        <is>
          <t>Almacén y Sastrería Cali</t>
        </is>
      </c>
      <c r="C212" s="20" t="inlineStr">
        <is>
          <t>Moda, calzado y accesorios</t>
        </is>
      </c>
      <c r="D212" s="17" t="inlineStr">
        <is>
          <t>Sastrería / ropa</t>
        </is>
      </c>
      <c r="E212" s="17" t="n"/>
      <c r="F212" s="17" t="inlineStr">
        <is>
          <t>310 544 8921</t>
        </is>
      </c>
      <c r="G212" s="17" t="inlineStr">
        <is>
          <t>Carrera 6 #16-36</t>
        </is>
      </c>
      <c r="H212" s="45" t="n">
        <v>46314</v>
      </c>
      <c r="I212" s="17" t="inlineStr">
        <is>
          <t>Directorio rastreado hace ~5 meses; confirmar vigencia.</t>
        </is>
      </c>
      <c r="J212" s="17" t="inlineStr">
        <is>
          <t>https://www.cybo.com/CO/la-dorada-caldas/clothing-stores/</t>
        </is>
      </c>
      <c r="K212" s="17" t="inlineStr">
        <is>
          <t>Fuente: Prospectos_NeXo_La_Dorada_Ampliacion.xlsx</t>
        </is>
      </c>
      <c r="L212" s="19">
        <f>IF($B212="","",SUBSTITUTE(INDEX(Plantillas!$B$6:$B$15,MATCH($C212,Plantillas!$A$6:$A$15,0)),"{NEGOCIO}",$B212))</f>
        <v/>
      </c>
      <c r="M212" s="18">
        <f>IF($B212="","",SUBSTITUTE(INDEX(Plantillas!$C$6:$C$15,MATCH($C212,Plantillas!$A$6:$A$15,0)),"{NEGOCIO}",$B212))</f>
        <v/>
      </c>
      <c r="N212" s="20" t="inlineStr">
        <is>
          <t>Sin correo público</t>
        </is>
      </c>
      <c r="O212" s="20" t="inlineStr">
        <is>
          <t>Pendiente de revisar</t>
        </is>
      </c>
      <c r="P212" s="20" t="inlineStr">
        <is>
          <t>Pendiente de revisión</t>
        </is>
      </c>
      <c r="Q212" s="46" t="n"/>
      <c r="R212" s="20" t="n"/>
      <c r="S212" s="20" t="inlineStr">
        <is>
          <t>Pendiente</t>
        </is>
      </c>
    </row>
    <row r="213" ht="36" customHeight="1">
      <c r="A213" s="21" t="inlineStr">
        <is>
          <t>NX-209</t>
        </is>
      </c>
      <c r="B213" s="17" t="inlineStr">
        <is>
          <t>Boutique Figuras</t>
        </is>
      </c>
      <c r="C213" s="20" t="inlineStr">
        <is>
          <t>Moda, calzado y accesorios</t>
        </is>
      </c>
      <c r="D213" s="17" t="inlineStr">
        <is>
          <t>Ropa / boutique</t>
        </is>
      </c>
      <c r="E213" s="17" t="n"/>
      <c r="F213" s="17" t="inlineStr">
        <is>
          <t>314 374 6730</t>
        </is>
      </c>
      <c r="G213" s="17" t="inlineStr">
        <is>
          <t>Calle 15 #3-36</t>
        </is>
      </c>
      <c r="H213" s="45" t="n">
        <v>46314</v>
      </c>
      <c r="I213" s="17" t="inlineStr">
        <is>
          <t>Directorio rastreado hace ~5 meses; confirmar vigencia.</t>
        </is>
      </c>
      <c r="J213" s="17" t="inlineStr">
        <is>
          <t>https://www.cybo.com/CO/la-dorada-caldas/clothing-stores/</t>
        </is>
      </c>
      <c r="K213" s="17" t="inlineStr">
        <is>
          <t>Fuente: Prospectos_NeXo_La_Dorada_Ampliacion.xlsx</t>
        </is>
      </c>
      <c r="L213" s="19">
        <f>IF($B213="","",SUBSTITUTE(INDEX(Plantillas!$B$6:$B$15,MATCH($C213,Plantillas!$A$6:$A$15,0)),"{NEGOCIO}",$B213))</f>
        <v/>
      </c>
      <c r="M213" s="18">
        <f>IF($B213="","",SUBSTITUTE(INDEX(Plantillas!$C$6:$C$15,MATCH($C213,Plantillas!$A$6:$A$15,0)),"{NEGOCIO}",$B213))</f>
        <v/>
      </c>
      <c r="N213" s="20" t="inlineStr">
        <is>
          <t>Sin correo público</t>
        </is>
      </c>
      <c r="O213" s="20" t="inlineStr">
        <is>
          <t>Pendiente de revisar</t>
        </is>
      </c>
      <c r="P213" s="20" t="inlineStr">
        <is>
          <t>Pendiente de revisión</t>
        </is>
      </c>
      <c r="Q213" s="46" t="n"/>
      <c r="R213" s="20" t="n"/>
      <c r="S213" s="20" t="inlineStr">
        <is>
          <t>Pendiente</t>
        </is>
      </c>
    </row>
    <row r="214" ht="36" customHeight="1">
      <c r="A214" s="21" t="inlineStr">
        <is>
          <t>NX-210</t>
        </is>
      </c>
      <c r="B214" s="17" t="inlineStr">
        <is>
          <t>Almacén El Cónsul</t>
        </is>
      </c>
      <c r="C214" s="20" t="inlineStr">
        <is>
          <t>Moda, calzado y accesorios</t>
        </is>
      </c>
      <c r="D214" s="17" t="inlineStr">
        <is>
          <t>Ropa / comercio</t>
        </is>
      </c>
      <c r="E214" s="17" t="n"/>
      <c r="F214" s="17" t="inlineStr">
        <is>
          <t>311 641 7031</t>
        </is>
      </c>
      <c r="G214" s="17" t="inlineStr">
        <is>
          <t>Calle 14 #2-20, Centro</t>
        </is>
      </c>
      <c r="H214" s="45" t="n">
        <v>46314</v>
      </c>
      <c r="I214" s="17" t="inlineStr">
        <is>
          <t>Directorio rastreado hace ~5 meses; confirmar vigencia.</t>
        </is>
      </c>
      <c r="J214" s="17" t="inlineStr">
        <is>
          <t>https://www.cybo.com/CO/la-dorada-caldas/clothing-stores/</t>
        </is>
      </c>
      <c r="K214" s="17" t="inlineStr">
        <is>
          <t>Fuente: Prospectos_NeXo_La_Dorada_Ampliacion.xlsx</t>
        </is>
      </c>
      <c r="L214" s="19">
        <f>IF($B214="","",SUBSTITUTE(INDEX(Plantillas!$B$6:$B$15,MATCH($C214,Plantillas!$A$6:$A$15,0)),"{NEGOCIO}",$B214))</f>
        <v/>
      </c>
      <c r="M214" s="18">
        <f>IF($B214="","",SUBSTITUTE(INDEX(Plantillas!$C$6:$C$15,MATCH($C214,Plantillas!$A$6:$A$15,0)),"{NEGOCIO}",$B214))</f>
        <v/>
      </c>
      <c r="N214" s="20" t="inlineStr">
        <is>
          <t>Sin correo público</t>
        </is>
      </c>
      <c r="O214" s="20" t="inlineStr">
        <is>
          <t>Pendiente de revisar</t>
        </is>
      </c>
      <c r="P214" s="20" t="inlineStr">
        <is>
          <t>Pendiente de revisión</t>
        </is>
      </c>
      <c r="Q214" s="46" t="n"/>
      <c r="R214" s="20" t="n"/>
      <c r="S214" s="20" t="inlineStr">
        <is>
          <t>Pendiente</t>
        </is>
      </c>
    </row>
    <row r="215" ht="36" customHeight="1">
      <c r="A215" s="21" t="inlineStr">
        <is>
          <t>NX-211</t>
        </is>
      </c>
      <c r="B215" s="17" t="inlineStr">
        <is>
          <t>Dorada Fashion</t>
        </is>
      </c>
      <c r="C215" s="20" t="inlineStr">
        <is>
          <t>Moda, calzado y accesorios</t>
        </is>
      </c>
      <c r="D215" s="17" t="inlineStr">
        <is>
          <t>Ropa / boutique</t>
        </is>
      </c>
      <c r="E215" s="17" t="n"/>
      <c r="F215" s="17" t="inlineStr">
        <is>
          <t>311 386 4364</t>
        </is>
      </c>
      <c r="G215" s="17" t="inlineStr">
        <is>
          <t>La Dorada (sin calle publicada)</t>
        </is>
      </c>
      <c r="H215" s="45" t="n">
        <v>46314</v>
      </c>
      <c r="I215" s="17" t="inlineStr">
        <is>
          <t>Página del negocio rastreada hace pocos días (oct. 2026); no especifica dirección exacta.</t>
        </is>
      </c>
      <c r="J215" s="17" t="inlineStr">
        <is>
          <t>https://dorada-fashion.ueniweb.com/about-us/tienda-de-ropa-a-la-ultima-moda-en-la-dorada-5814212</t>
        </is>
      </c>
      <c r="K215" s="17" t="inlineStr">
        <is>
          <t>Fuente: Prospectos_NeXo_La_Dorada_Ampliacion.xlsx</t>
        </is>
      </c>
      <c r="L215" s="19">
        <f>IF($B215="","",SUBSTITUTE(INDEX(Plantillas!$B$6:$B$15,MATCH($C215,Plantillas!$A$6:$A$15,0)),"{NEGOCIO}",$B215))</f>
        <v/>
      </c>
      <c r="M215" s="18">
        <f>IF($B215="","",SUBSTITUTE(INDEX(Plantillas!$C$6:$C$15,MATCH($C215,Plantillas!$A$6:$A$15,0)),"{NEGOCIO}",$B215))</f>
        <v/>
      </c>
      <c r="N215" s="20" t="inlineStr">
        <is>
          <t>Sin correo público</t>
        </is>
      </c>
      <c r="O215" s="20" t="inlineStr">
        <is>
          <t>Pendiente de revisar</t>
        </is>
      </c>
      <c r="P215" s="20" t="inlineStr">
        <is>
          <t>Pendiente de revisión</t>
        </is>
      </c>
      <c r="Q215" s="46" t="n"/>
      <c r="R215" s="20" t="n"/>
      <c r="S215" s="20" t="inlineStr">
        <is>
          <t>Pendiente</t>
        </is>
      </c>
    </row>
    <row r="216" ht="36" customHeight="1">
      <c r="A216" s="21" t="inlineStr">
        <is>
          <t>NX-212</t>
        </is>
      </c>
      <c r="B216" s="17" t="inlineStr">
        <is>
          <t>S.O.S Bella</t>
        </is>
      </c>
      <c r="C216" s="20" t="inlineStr">
        <is>
          <t>Belleza y cuidado personal</t>
        </is>
      </c>
      <c r="D216" s="17" t="inlineStr">
        <is>
          <t>Belleza / cosméticos / accesorios</t>
        </is>
      </c>
      <c r="E216" s="17" t="inlineStr">
        <is>
          <t>fisiolau11@gmail.com</t>
        </is>
      </c>
      <c r="F216" s="17" t="inlineStr">
        <is>
          <t>310 835 4572 / 310 419 0701</t>
        </is>
      </c>
      <c r="G216" s="17" t="inlineStr">
        <is>
          <t>Calle 11 #3-06, Centro</t>
        </is>
      </c>
      <c r="H216" s="45" t="n">
        <v>46314</v>
      </c>
      <c r="I216" s="17" t="inlineStr">
        <is>
          <t>Catálogo de venta rastreado hace ~1 semana (oct. 2026).</t>
        </is>
      </c>
      <c r="J216" s="17" t="inlineStr">
        <is>
          <t>https://sos-belladorada.catalog.kyte.site/</t>
        </is>
      </c>
      <c r="K216" s="17" t="inlineStr">
        <is>
          <t>Fuente: Prospectos_NeXo_La_Dorada_Ampliacion.xlsx</t>
        </is>
      </c>
      <c r="L216" s="19">
        <f>IF($B216="","",SUBSTITUTE(INDEX(Plantillas!$B$6:$B$15,MATCH($C216,Plantillas!$A$6:$A$15,0)),"{NEGOCIO}",$B216))</f>
        <v/>
      </c>
      <c r="M216" s="18">
        <f>IF($B216="","",SUBSTITUTE(INDEX(Plantillas!$C$6:$C$15,MATCH($C216,Plantillas!$A$6:$A$15,0)),"{NEGOCIO}",$B216))</f>
        <v/>
      </c>
      <c r="N216" s="20" t="inlineStr">
        <is>
          <t>Pendiente de verificar</t>
        </is>
      </c>
      <c r="O216" s="20" t="inlineStr">
        <is>
          <t>Pendiente de revisar</t>
        </is>
      </c>
      <c r="P216" s="20" t="inlineStr">
        <is>
          <t>Pendiente de revisión</t>
        </is>
      </c>
      <c r="Q216" s="46" t="n"/>
      <c r="R216" s="20" t="n"/>
      <c r="S216" s="20" t="inlineStr">
        <is>
          <t>Pendiente</t>
        </is>
      </c>
    </row>
    <row r="217" ht="36" customHeight="1">
      <c r="A217" s="21" t="inlineStr">
        <is>
          <t>NX-213</t>
        </is>
      </c>
      <c r="B217" s="17" t="inlineStr">
        <is>
          <t>Vibrass</t>
        </is>
      </c>
      <c r="C217" s="20" t="inlineStr">
        <is>
          <t>Moda, calzado y accesorios</t>
        </is>
      </c>
      <c r="D217" s="17" t="inlineStr">
        <is>
          <t>Ropa / tienda</t>
        </is>
      </c>
      <c r="E217" s="17" t="n"/>
      <c r="F217" s="17" t="inlineStr">
        <is>
          <t>320 508 0258</t>
        </is>
      </c>
      <c r="G217" s="17" t="inlineStr">
        <is>
          <t>Carrera 3 #12-39</t>
        </is>
      </c>
      <c r="H217" s="45" t="n">
        <v>46314</v>
      </c>
      <c r="I217" s="17" t="inlineStr">
        <is>
          <t>Ficha Waze rastreada hace ~1 mes; confirmar teléfono y vigencia.</t>
        </is>
      </c>
      <c r="J217" s="17" t="inlineStr">
        <is>
          <t>https://www.waze.com/live-map/directions/co/caldas/la-dorada/vibrass-or-tienda-de-ropa.?to=place.ChIJSxy5lDPfQI4R7lK9YUXq5MY</t>
        </is>
      </c>
      <c r="K217" s="17" t="inlineStr">
        <is>
          <t>Fuente: Prospectos_NeXo_La_Dorada_Ampliacion.xlsx</t>
        </is>
      </c>
      <c r="L217" s="19">
        <f>IF($B217="","",SUBSTITUTE(INDEX(Plantillas!$B$6:$B$15,MATCH($C217,Plantillas!$A$6:$A$15,0)),"{NEGOCIO}",$B217))</f>
        <v/>
      </c>
      <c r="M217" s="18">
        <f>IF($B217="","",SUBSTITUTE(INDEX(Plantillas!$C$6:$C$15,MATCH($C217,Plantillas!$A$6:$A$15,0)),"{NEGOCIO}",$B217))</f>
        <v/>
      </c>
      <c r="N217" s="20" t="inlineStr">
        <is>
          <t>Sin correo público</t>
        </is>
      </c>
      <c r="O217" s="20" t="inlineStr">
        <is>
          <t>Pendiente de revisar</t>
        </is>
      </c>
      <c r="P217" s="20" t="inlineStr">
        <is>
          <t>Pendiente de revisión</t>
        </is>
      </c>
      <c r="Q217" s="46" t="n"/>
      <c r="R217" s="20" t="n"/>
      <c r="S217" s="20" t="inlineStr">
        <is>
          <t>Pendiente</t>
        </is>
      </c>
    </row>
    <row r="218" ht="36" customHeight="1">
      <c r="A218" s="21" t="inlineStr">
        <is>
          <t>NX-214</t>
        </is>
      </c>
      <c r="B218" s="17" t="inlineStr">
        <is>
          <t>Surtidora El Rebajón</t>
        </is>
      </c>
      <c r="C218" s="20" t="inlineStr">
        <is>
          <t>Moda, calzado y accesorios</t>
        </is>
      </c>
      <c r="D218" s="17" t="inlineStr">
        <is>
          <t>Ropa / almacén familiar</t>
        </is>
      </c>
      <c r="E218" s="17" t="n"/>
      <c r="F218" s="17" t="inlineStr">
        <is>
          <t>315 629 6202 / 606 839 1818</t>
        </is>
      </c>
      <c r="G218" s="17" t="inlineStr">
        <is>
          <t>Carrera 4 #14-27</t>
        </is>
      </c>
      <c r="H218" s="45" t="n">
        <v>46314</v>
      </c>
      <c r="I218" s="17" t="inlineStr">
        <is>
          <t>Ficha rastreada hace ~2 semanas; directorio comercial, confirmar vigencia.</t>
        </is>
      </c>
      <c r="J218" s="17" t="inlineStr">
        <is>
          <t>https://www.aiyellow.com/almacen-ropa-dorada/</t>
        </is>
      </c>
      <c r="K218" s="17" t="inlineStr">
        <is>
          <t>Fuente: Prospectos_NeXo_La_Dorada_Ampliacion.xlsx</t>
        </is>
      </c>
      <c r="L218" s="19">
        <f>IF($B218="","",SUBSTITUTE(INDEX(Plantillas!$B$6:$B$15,MATCH($C218,Plantillas!$A$6:$A$15,0)),"{NEGOCIO}",$B218))</f>
        <v/>
      </c>
      <c r="M218" s="18">
        <f>IF($B218="","",SUBSTITUTE(INDEX(Plantillas!$C$6:$C$15,MATCH($C218,Plantillas!$A$6:$A$15,0)),"{NEGOCIO}",$B218))</f>
        <v/>
      </c>
      <c r="N218" s="20" t="inlineStr">
        <is>
          <t>Sin correo público</t>
        </is>
      </c>
      <c r="O218" s="20" t="inlineStr">
        <is>
          <t>Pendiente de revisar</t>
        </is>
      </c>
      <c r="P218" s="20" t="inlineStr">
        <is>
          <t>Pendiente de revisión</t>
        </is>
      </c>
      <c r="Q218" s="46" t="n"/>
      <c r="R218" s="20" t="n"/>
      <c r="S218" s="20" t="inlineStr">
        <is>
          <t>Pendiente</t>
        </is>
      </c>
    </row>
    <row r="219" ht="36" customHeight="1">
      <c r="A219" s="21" t="inlineStr">
        <is>
          <t>NX-215</t>
        </is>
      </c>
      <c r="B219" s="17" t="inlineStr">
        <is>
          <t>La Repostería de Stid</t>
        </is>
      </c>
      <c r="C219" s="20" t="inlineStr">
        <is>
          <t>Alimentos, tiendas y consumo</t>
        </is>
      </c>
      <c r="D219" s="17" t="inlineStr">
        <is>
          <t>Alimentos / repostería</t>
        </is>
      </c>
      <c r="E219" s="17" t="n"/>
      <c r="F219" s="17" t="inlineStr">
        <is>
          <t>313 764 6430 / 314 356 0204</t>
        </is>
      </c>
      <c r="G219" s="17" t="inlineStr">
        <is>
          <t>La Dorada (sin calle publicada)</t>
        </is>
      </c>
      <c r="H219" s="45" t="n">
        <v>46314</v>
      </c>
      <c r="I219" s="17" t="inlineStr">
        <is>
          <t>Publicaciones del negocio en jun–ago 2026; horario y teléfono en ficha consultada hace ~1 mes.</t>
        </is>
      </c>
      <c r="J219" s="17" t="inlineStr">
        <is>
          <t>https://www.findglocal.com/CO/La-Dorada/651400634963893/La-reposter%C3%ADa-de-stid</t>
        </is>
      </c>
      <c r="K219" s="17" t="inlineStr">
        <is>
          <t>Fuente: Prospectos_NeXo_La_Dorada_Ampliacion.xlsx</t>
        </is>
      </c>
      <c r="L219" s="19">
        <f>IF($B219="","",SUBSTITUTE(INDEX(Plantillas!$B$6:$B$15,MATCH($C219,Plantillas!$A$6:$A$15,0)),"{NEGOCIO}",$B219))</f>
        <v/>
      </c>
      <c r="M219" s="18">
        <f>IF($B219="","",SUBSTITUTE(INDEX(Plantillas!$C$6:$C$15,MATCH($C219,Plantillas!$A$6:$A$15,0)),"{NEGOCIO}",$B219))</f>
        <v/>
      </c>
      <c r="N219" s="20" t="inlineStr">
        <is>
          <t>Sin correo público</t>
        </is>
      </c>
      <c r="O219" s="20" t="inlineStr">
        <is>
          <t>Pendiente de revisar</t>
        </is>
      </c>
      <c r="P219" s="20" t="inlineStr">
        <is>
          <t>Pendiente de revisión</t>
        </is>
      </c>
      <c r="Q219" s="46" t="n"/>
      <c r="R219" s="20" t="n"/>
      <c r="S219" s="20" t="inlineStr">
        <is>
          <t>Pendiente</t>
        </is>
      </c>
    </row>
    <row r="220" ht="36" customHeight="1">
      <c r="A220" s="21" t="inlineStr">
        <is>
          <t>NX-216</t>
        </is>
      </c>
      <c r="B220" s="17" t="inlineStr">
        <is>
          <t>La Tienda Verde</t>
        </is>
      </c>
      <c r="C220" s="20" t="inlineStr">
        <is>
          <t>Alimentos, tiendas y consumo</t>
        </is>
      </c>
      <c r="D220" s="17" t="inlineStr">
        <is>
          <t>Comercio / productos naturales</t>
        </is>
      </c>
      <c r="E220" s="17" t="n"/>
      <c r="F220" s="17" t="n"/>
      <c r="G220" s="17" t="inlineStr">
        <is>
          <t>Calle 13 #3-63</t>
        </is>
      </c>
      <c r="H220" s="45" t="n">
        <v>46314</v>
      </c>
      <c r="I220" s="17" t="inlineStr">
        <is>
          <t>Publicaciones visibles en abr. 2026; directorio consultado hace ~1 mes, teléfono no publicado.</t>
        </is>
      </c>
      <c r="J220" s="17" t="inlineStr">
        <is>
          <t>https://www.findglocal.com/CO/La-Dorada/104833431418298/La-Tienda-Verde</t>
        </is>
      </c>
      <c r="K220" s="17" t="inlineStr">
        <is>
          <t>Fuente: Prospectos_NeXo_La_Dorada_Ampliacion.xlsx</t>
        </is>
      </c>
      <c r="L220" s="19">
        <f>IF($B220="","",SUBSTITUTE(INDEX(Plantillas!$B$6:$B$15,MATCH($C220,Plantillas!$A$6:$A$15,0)),"{NEGOCIO}",$B220))</f>
        <v/>
      </c>
      <c r="M220" s="18">
        <f>IF($B220="","",SUBSTITUTE(INDEX(Plantillas!$C$6:$C$15,MATCH($C220,Plantillas!$A$6:$A$15,0)),"{NEGOCIO}",$B220))</f>
        <v/>
      </c>
      <c r="N220" s="20" t="inlineStr">
        <is>
          <t>Sin correo público</t>
        </is>
      </c>
      <c r="O220" s="20" t="inlineStr">
        <is>
          <t>Pendiente de revisar</t>
        </is>
      </c>
      <c r="P220" s="20" t="inlineStr">
        <is>
          <t>Pendiente de revisión</t>
        </is>
      </c>
      <c r="Q220" s="46" t="n"/>
      <c r="R220" s="20" t="n"/>
      <c r="S220" s="20" t="inlineStr">
        <is>
          <t>Pendiente</t>
        </is>
      </c>
    </row>
    <row r="221" ht="36" customHeight="1">
      <c r="A221" s="21" t="inlineStr">
        <is>
          <t>NX-217</t>
        </is>
      </c>
      <c r="B221" s="17" t="inlineStr">
        <is>
          <t>Vital Farma MG</t>
        </is>
      </c>
      <c r="C221" s="20" t="inlineStr">
        <is>
          <t>Bienestar y entrenamiento</t>
        </is>
      </c>
      <c r="D221" s="17" t="inlineStr">
        <is>
          <t>Droguería / bienestar</t>
        </is>
      </c>
      <c r="E221" s="17" t="n"/>
      <c r="F221" s="17" t="inlineStr">
        <is>
          <t>311 682 8490</t>
        </is>
      </c>
      <c r="G221" s="17" t="inlineStr">
        <is>
          <t>Carrera 15 #18-54, barrio Cabrero</t>
        </is>
      </c>
      <c r="H221" s="45" t="n">
        <v>46314</v>
      </c>
      <c r="I221" s="17" t="inlineStr">
        <is>
          <t>Sitio propio rastreado hace ~4 semanas (oct. 2026).</t>
        </is>
      </c>
      <c r="J221" s="17" t="inlineStr">
        <is>
          <t>https://www.vitalfarmamg.com/</t>
        </is>
      </c>
      <c r="K221" s="17" t="inlineStr">
        <is>
          <t>Fuente: Prospectos_NeXo_La_Dorada_Ampliacion.xlsx</t>
        </is>
      </c>
      <c r="L221" s="19">
        <f>IF($B221="","",SUBSTITUTE(INDEX(Plantillas!$B$6:$B$15,MATCH($C221,Plantillas!$A$6:$A$15,0)),"{NEGOCIO}",$B221))</f>
        <v/>
      </c>
      <c r="M221" s="18">
        <f>IF($B221="","",SUBSTITUTE(INDEX(Plantillas!$C$6:$C$15,MATCH($C221,Plantillas!$A$6:$A$15,0)),"{NEGOCIO}",$B221))</f>
        <v/>
      </c>
      <c r="N221" s="20" t="inlineStr">
        <is>
          <t>Sin correo público</t>
        </is>
      </c>
      <c r="O221" s="20" t="inlineStr">
        <is>
          <t>Pendiente de revisar</t>
        </is>
      </c>
      <c r="P221" s="20" t="inlineStr">
        <is>
          <t>Pendiente de revisión</t>
        </is>
      </c>
      <c r="Q221" s="46" t="n"/>
      <c r="R221" s="20" t="n"/>
      <c r="S221" s="20" t="inlineStr">
        <is>
          <t>Pendiente</t>
        </is>
      </c>
    </row>
    <row r="222" ht="36" customHeight="1">
      <c r="A222" s="21" t="inlineStr">
        <is>
          <t>NX-218</t>
        </is>
      </c>
      <c r="B222" s="17" t="inlineStr">
        <is>
          <t>Estampados J3</t>
        </is>
      </c>
      <c r="C222" s="20" t="inlineStr">
        <is>
          <t>Empresas y servicios</t>
        </is>
      </c>
      <c r="D222" s="17" t="inlineStr">
        <is>
          <t>Estampados / personalización</t>
        </is>
      </c>
      <c r="E222" s="17" t="n"/>
      <c r="F222" s="17" t="inlineStr">
        <is>
          <t>313 615 2429</t>
        </is>
      </c>
      <c r="G222" s="17" t="inlineStr">
        <is>
          <t>Carrera 15 #5-77</t>
        </is>
      </c>
      <c r="H222" s="45" t="n">
        <v>46314</v>
      </c>
      <c r="I222" s="17" t="inlineStr">
        <is>
          <t>Página rastreada hace ~2 semanas; anuncia perfil activo de Instagram @estampados_j3.</t>
        </is>
      </c>
      <c r="J222" s="17" t="inlineStr">
        <is>
          <t>https://www.laestamperia.com.co/estampado/estampados-j3/</t>
        </is>
      </c>
      <c r="K222" s="17" t="inlineStr">
        <is>
          <t>Fuente: Prospectos_NeXo_La_Dorada_Ampliacion.xlsx</t>
        </is>
      </c>
      <c r="L222" s="19">
        <f>IF($B222="","",SUBSTITUTE(INDEX(Plantillas!$B$6:$B$15,MATCH($C222,Plantillas!$A$6:$A$15,0)),"{NEGOCIO}",$B222))</f>
        <v/>
      </c>
      <c r="M222" s="18">
        <f>IF($B222="","",SUBSTITUTE(INDEX(Plantillas!$C$6:$C$15,MATCH($C222,Plantillas!$A$6:$A$15,0)),"{NEGOCIO}",$B222))</f>
        <v/>
      </c>
      <c r="N222" s="20" t="inlineStr">
        <is>
          <t>Sin correo público</t>
        </is>
      </c>
      <c r="O222" s="20" t="inlineStr">
        <is>
          <t>Pendiente de revisar</t>
        </is>
      </c>
      <c r="P222" s="20" t="inlineStr">
        <is>
          <t>Pendiente de revisión</t>
        </is>
      </c>
      <c r="Q222" s="46" t="n"/>
      <c r="R222" s="20" t="n"/>
      <c r="S222" s="20" t="inlineStr">
        <is>
          <t>Pendiente</t>
        </is>
      </c>
    </row>
    <row r="223" ht="36" customHeight="1">
      <c r="A223" s="21" t="inlineStr">
        <is>
          <t>NX-219</t>
        </is>
      </c>
      <c r="B223" s="17" t="inlineStr">
        <is>
          <t>El Taller de Michi</t>
        </is>
      </c>
      <c r="C223" s="20" t="inlineStr">
        <is>
          <t>Empresas y servicios</t>
        </is>
      </c>
      <c r="D223" s="17" t="inlineStr">
        <is>
          <t>Emprendimiento / manualidades</t>
        </is>
      </c>
      <c r="E223" s="17" t="n"/>
      <c r="F223" s="17" t="inlineStr">
        <is>
          <t>311 526 4693</t>
        </is>
      </c>
      <c r="G223" s="17" t="inlineStr">
        <is>
          <t>La Dorada (sin calle publicada)</t>
        </is>
      </c>
      <c r="H223" s="45" t="n">
        <v>46314</v>
      </c>
      <c r="I223" s="17" t="inlineStr">
        <is>
          <t>Página del negocio rastreada hace ~2 semanas (oct. 2026).</t>
        </is>
      </c>
      <c r="J223" s="17" t="inlineStr">
        <is>
          <t>https://el-taller-de-michi.ueniweb.com/</t>
        </is>
      </c>
      <c r="K223" s="17" t="inlineStr">
        <is>
          <t>Fuente: Prospectos_NeXo_La_Dorada_Ampliacion.xlsx</t>
        </is>
      </c>
      <c r="L223" s="19">
        <f>IF($B223="","",SUBSTITUTE(INDEX(Plantillas!$B$6:$B$15,MATCH($C223,Plantillas!$A$6:$A$15,0)),"{NEGOCIO}",$B223))</f>
        <v/>
      </c>
      <c r="M223" s="18">
        <f>IF($B223="","",SUBSTITUTE(INDEX(Plantillas!$C$6:$C$15,MATCH($C223,Plantillas!$A$6:$A$15,0)),"{NEGOCIO}",$B223))</f>
        <v/>
      </c>
      <c r="N223" s="20" t="inlineStr">
        <is>
          <t>Sin correo público</t>
        </is>
      </c>
      <c r="O223" s="20" t="inlineStr">
        <is>
          <t>Pendiente de revisar</t>
        </is>
      </c>
      <c r="P223" s="20" t="inlineStr">
        <is>
          <t>Pendiente de revisión</t>
        </is>
      </c>
      <c r="Q223" s="46" t="n"/>
      <c r="R223" s="20" t="n"/>
      <c r="S223" s="20" t="inlineStr">
        <is>
          <t>Pendiente</t>
        </is>
      </c>
    </row>
    <row r="224" ht="36" customHeight="1">
      <c r="A224" s="21" t="inlineStr">
        <is>
          <t>NX-220</t>
        </is>
      </c>
      <c r="B224" s="17" t="inlineStr">
        <is>
          <t>MasterFit – sede La Dorada</t>
        </is>
      </c>
      <c r="C224" s="20" t="inlineStr">
        <is>
          <t>Bienestar y entrenamiento</t>
        </is>
      </c>
      <c r="D224" s="17" t="inlineStr">
        <is>
          <t>Gimnasio / entrenamiento</t>
        </is>
      </c>
      <c r="E224" s="17" t="n"/>
      <c r="F224" s="17" t="n"/>
      <c r="G224" s="17" t="inlineStr">
        <is>
          <t>Calle 14 #2-23</t>
        </is>
      </c>
      <c r="H224" s="45" t="n">
        <v>46314</v>
      </c>
      <c r="I224" s="17" t="inlineStr">
        <is>
          <t>Página oficial de sedes consultada hoy (oct. 2026); contacto por botón de WhatsApp de la sede.</t>
        </is>
      </c>
      <c r="J224" s="17" t="inlineStr">
        <is>
          <t>https://masterfit.co.com/contacto/</t>
        </is>
      </c>
      <c r="K224" s="17" t="inlineStr">
        <is>
          <t>Fuente: Prospectos_NeXo_La_Dorada_Ampliacion.xlsx</t>
        </is>
      </c>
      <c r="L224" s="19">
        <f>IF($B224="","",SUBSTITUTE(INDEX(Plantillas!$B$6:$B$15,MATCH($C224,Plantillas!$A$6:$A$15,0)),"{NEGOCIO}",$B224))</f>
        <v/>
      </c>
      <c r="M224" s="18">
        <f>IF($B224="","",SUBSTITUTE(INDEX(Plantillas!$C$6:$C$15,MATCH($C224,Plantillas!$A$6:$A$15,0)),"{NEGOCIO}",$B224))</f>
        <v/>
      </c>
      <c r="N224" s="20" t="inlineStr">
        <is>
          <t>Sin correo público</t>
        </is>
      </c>
      <c r="O224" s="20" t="inlineStr">
        <is>
          <t>Pendiente de revisar</t>
        </is>
      </c>
      <c r="P224" s="20" t="inlineStr">
        <is>
          <t>Pendiente de revisión</t>
        </is>
      </c>
      <c r="Q224" s="46" t="n"/>
      <c r="R224" s="20" t="n"/>
      <c r="S224" s="20" t="inlineStr">
        <is>
          <t>Pendiente</t>
        </is>
      </c>
    </row>
    <row r="225" ht="36" customHeight="1">
      <c r="A225" s="21" t="inlineStr">
        <is>
          <t>NX-221</t>
        </is>
      </c>
      <c r="B225" s="17" t="inlineStr">
        <is>
          <t>Ferretería TorniHerramientas La Dorada</t>
        </is>
      </c>
      <c r="C225" s="20" t="inlineStr">
        <is>
          <t>Empresas y servicios</t>
        </is>
      </c>
      <c r="D225" s="17" t="inlineStr">
        <is>
          <t>Ferretería</t>
        </is>
      </c>
      <c r="E225" s="17" t="n"/>
      <c r="F225" s="17" t="n"/>
      <c r="G225" s="17" t="inlineStr">
        <is>
          <t>Calle 11 #8-65</t>
        </is>
      </c>
      <c r="H225" s="45" t="n">
        <v>46314</v>
      </c>
      <c r="I225" s="17" t="inlineStr">
        <is>
          <t>Catálogo digital rastreado hace ~2 semanas; página muestra WhatsApp, no expone número en el texto consultado.</t>
        </is>
      </c>
      <c r="J225" s="17" t="inlineStr">
        <is>
          <t>https://torniherramientasladorada.ola.click/</t>
        </is>
      </c>
      <c r="K225" s="17" t="inlineStr">
        <is>
          <t>Fuente: Prospectos_NeXo_La_Dorada_Ampliacion.xlsx</t>
        </is>
      </c>
      <c r="L225" s="19">
        <f>IF($B225="","",SUBSTITUTE(INDEX(Plantillas!$B$6:$B$15,MATCH($C225,Plantillas!$A$6:$A$15,0)),"{NEGOCIO}",$B225))</f>
        <v/>
      </c>
      <c r="M225" s="18">
        <f>IF($B225="","",SUBSTITUTE(INDEX(Plantillas!$C$6:$C$15,MATCH($C225,Plantillas!$A$6:$A$15,0)),"{NEGOCIO}",$B225))</f>
        <v/>
      </c>
      <c r="N225" s="20" t="inlineStr">
        <is>
          <t>Sin correo público</t>
        </is>
      </c>
      <c r="O225" s="20" t="inlineStr">
        <is>
          <t>Pendiente de revisar</t>
        </is>
      </c>
      <c r="P225" s="20" t="inlineStr">
        <is>
          <t>Pendiente de revisión</t>
        </is>
      </c>
      <c r="Q225" s="46" t="n"/>
      <c r="R225" s="20" t="n"/>
      <c r="S225" s="20" t="inlineStr">
        <is>
          <t>Pendiente</t>
        </is>
      </c>
    </row>
  </sheetData>
  <conditionalFormatting sqref="P5:P225">
    <cfRule type="containsText" priority="1" operator="containsText" dxfId="0" text="No contactar"/>
  </conditionalFormatting>
  <dataValidations count="5">
    <dataValidation sqref="C5:C225" showDropDown="0" showInputMessage="0" showErrorMessage="0" allowBlank="0" type="list">
      <formula1>Plantillas!$A$6:$A$15</formula1>
    </dataValidation>
    <dataValidation sqref="N5:N225" showDropDown="0" showInputMessage="0" showErrorMessage="0" allowBlank="0" type="list">
      <formula1>"Pendiente de verificar,Verificado,Sin correo público,Correo inválido"</formula1>
    </dataValidation>
    <dataValidation sqref="O5:O225" showDropDown="0" showInputMessage="0" showErrorMessage="0" allowBlank="0" type="list">
      <formula1>"Pendiente de revisar,Confirmada,No autorizada"</formula1>
    </dataValidation>
    <dataValidation sqref="P5:P225" showDropDown="0" showInputMessage="0" showErrorMessage="0" allowBlank="0" type="list">
      <formula1>"Pendiente de revisión,Listo para enviar,Enviado,Respondió,No contactar,Dado de baja"</formula1>
    </dataValidation>
    <dataValidation sqref="S5:S225" showDropDown="0" showInputMessage="0" showErrorMessage="0" allowBlank="0" type="list">
      <formula1>"Pendiente,Autorizado,No autorizado"</formula1>
    </dataValidation>
  </dataValidations>
  <pageMargins left="0.7" right="0.7" top="0.75" bottom="0.75" header="0.3" footer="0.3"/>
  <tableParts count="1">
    <tablePart xmlns:r="http://schemas.openxmlformats.org/officeDocument/2006/relationships" r:id="rId1"/>
  </tableParts>
</worksheet>
</file>

<file path=xl/worksheets/sheet3.xml><?xml version="1.0" encoding="utf-8"?>
<worksheet xmlns="http://schemas.openxmlformats.org/spreadsheetml/2006/main">
  <sheetPr>
    <tabColor rgb="FF16A6D8"/>
    <outlinePr summaryBelow="1" summaryRight="1"/>
    <pageSetUpPr/>
  </sheetPr>
  <dimension ref="A2:D15"/>
  <sheetViews>
    <sheetView showGridLines="0" workbookViewId="0">
      <pane ySplit="5" topLeftCell="A6" activePane="bottomLeft" state="frozen"/>
      <selection activeCell="A1" sqref="A1"/>
    </sheetView>
  </sheetViews>
  <sheetFormatPr baseColWidth="8" defaultRowHeight="15" outlineLevelCol="0"/>
  <cols>
    <col width="34" customWidth="1" min="1" max="1"/>
    <col width="42" customWidth="1" min="2" max="2"/>
    <col width="100" customWidth="1" min="3" max="3"/>
    <col width="58" customWidth="1" min="4" max="4"/>
  </cols>
  <sheetData>
    <row r="2">
      <c r="A2" s="1" t="inlineStr">
        <is>
          <t>Plantillas de correo por sector</t>
        </is>
      </c>
    </row>
    <row r="3" ht="38" customHeight="1">
      <c r="A3" s="3" t="inlineStr">
        <is>
          <t>Edita aquí; {NEGOCIO} se reemplaza automáticamente en Contactos.</t>
        </is>
      </c>
      <c r="B3" s="3" t="n"/>
      <c r="C3" s="3" t="n"/>
      <c r="D3" s="3" t="n"/>
    </row>
    <row r="5" ht="34" customHeight="1">
      <c r="A5" s="8" t="inlineStr">
        <is>
          <t>Categoría de contacto</t>
        </is>
      </c>
      <c r="B5" s="8" t="inlineStr">
        <is>
          <t>Asunto modelo</t>
        </is>
      </c>
      <c r="C5" s="8" t="inlineStr">
        <is>
          <t>Cuerpo modelo (texto plano)</t>
        </is>
      </c>
      <c r="D5" s="8" t="inlineStr">
        <is>
          <t>Sectores incluidos</t>
        </is>
      </c>
    </row>
    <row r="6" ht="210" customHeight="1">
      <c r="A6" s="11" t="inlineStr">
        <is>
          <t>Hoteles y hospedajes</t>
        </is>
      </c>
      <c r="B6" s="11" t="inlineStr">
        <is>
          <t>Soporte para impresoras y computadores en {NEGOCIO}</t>
        </is>
      </c>
      <c r="C6" s="11" t="inlineStr">
        <is>
          <t>Hola, equipo de {NEGOCIO}:
Somos NeXo, una empresa tecnológica de La Dorada. Apoyamos a hoteles y hospedajes con mantenimiento y reparación de impresoras de distintas marcas y tecnologías, soporte para computadores e insumos de impresión. También desarrollamos páginas web y automatizaciones que pueden ayudar a organizar procesos del negocio.
¿Quién coordina el soporte de estos equipos? Si les interesa, podemos presentarnos y coordinar una visita breve para conocer sus necesidades.
Atentamente,
Equipo NeXo
Soluciones tecnológicas y servicio técnico | La Dorada, Caldas
WhatsApp: +57 322 206 7870
Sitio web: https://ne-xo-page.vercel.app
Si prefieren no recibir más información comercial, pueden responder a este correo y lo tendremos en cuenta.</t>
        </is>
      </c>
      <c r="D6" s="11" t="inlineStr">
        <is>
          <t>Hoteles, hospedajes, apartahoteles y alojamientos.</t>
        </is>
      </c>
    </row>
    <row r="7" ht="210" customHeight="1">
      <c r="A7" s="11" t="inlineStr">
        <is>
          <t>Salud y atención médica</t>
        </is>
      </c>
      <c r="B7" s="11" t="inlineStr">
        <is>
          <t>Mantenimiento tecnológico para {NEGOCIO}</t>
        </is>
      </c>
      <c r="C7" s="11" t="inlineStr">
        <is>
          <t>Cordial saludo, equipo de {NEGOCIO}:
Somos NeXo, empresa tecnológica de La Dorada. Ofrecemos mantenimiento preventivo y correctivo de impresoras láser, de tinta y multifuncionales, además de soporte para computadores. Podemos coordinar la atención para conocer sus equipos y las necesidades de su área administrativa.
¿Quién coordina el mantenimiento de impresoras y computadores en la institución? Nos gustaría presentarles nuestros servicios y acordar una visita breve, si lo consideran conveniente.
Atentamente,
Equipo NeXo
Soluciones tecnológicas y servicio técnico | La Dorada, Caldas
WhatsApp: +57 322 206 7870
Sitio web: https://ne-xo-page.vercel.app
Si prefieren no recibir más información comercial, pueden responder a este correo y lo tendremos en cuenta.</t>
        </is>
      </c>
      <c r="D7" s="11" t="inlineStr">
        <is>
          <t>Hospitales, clínicas, centros médicos, odontología y prestadores de salud.</t>
        </is>
      </c>
    </row>
    <row r="8" ht="210" customHeight="1">
      <c r="A8" s="11" t="inlineStr">
        <is>
          <t>Educación e instituciones</t>
        </is>
      </c>
      <c r="B8" s="11" t="inlineStr">
        <is>
          <t>Soporte de impresión y computadores para {NEGOCIO}</t>
        </is>
      </c>
      <c r="C8" s="11" t="inlineStr">
        <is>
          <t>Cordial saludo, equipo de {NEGOCIO}:
Somos NeXo, una empresa tecnológica de La Dorada. Brindamos mantenimiento y reparación de impresoras de diferentes marcas y tecnologías, y soporte para computadores portátiles y de escritorio. También desarrollamos páginas web, software y automatizaciones para apoyar procesos institucionales.
¿Quién coordina el mantenimiento de estos equipos? Nos gustaría presentarles nuestros servicios y, si les resulta útil, coordinar una visita breve.
Atentamente,
Equipo NeXo
Soluciones tecnológicas y servicio técnico | La Dorada, Caldas
WhatsApp: +57 322 206 7870
Sitio web: https://ne-xo-page.vercel.app
Si prefieren no recibir más información comercial, pueden responder a este correo y lo tendremos en cuenta.</t>
        </is>
      </c>
      <c r="D8" s="11" t="inlineStr">
        <is>
          <t>Instituciones educativas, colegios y universidades.</t>
        </is>
      </c>
    </row>
    <row r="9" ht="210" customHeight="1">
      <c r="A9" s="11" t="inlineStr">
        <is>
          <t>Papelerías, copias e impresión</t>
        </is>
      </c>
      <c r="B9" s="11" t="inlineStr">
        <is>
          <t>Aliado técnico para impresión e insumos | NeXo</t>
        </is>
      </c>
      <c r="C9" s="11" t="inlineStr">
        <is>
          <t>Hola, equipo de {NEGOCIO}:
Somos NeXo, empresa tecnológica de La Dorada. Ofrecemos mantenimiento y reparación de impresoras láser, de tinta continua, de cartucho y multifuncionales. También contamos con insumos para impresión a precios competitivos y brindamos soporte a computadores.
Nos gustaría conocer sus necesidades y presentarles opciones para apoyar la operación de su negocio. ¿Con quién podríamos coordinar una conversación o visita breve?
Atentamente,
Equipo NeXo
Soluciones tecnológicas y servicio técnico | La Dorada, Caldas
WhatsApp: +57 322 206 7870
Sitio web: https://ne-xo-page.vercel.app
Si prefieren no recibir más información comercial, pueden responder a este correo y lo tendremos en cuenta.</t>
        </is>
      </c>
      <c r="D9" s="11" t="inlineStr">
        <is>
          <t>Papelerías, librerías, copiado, litografía, impresión y publicidad impresa.</t>
        </is>
      </c>
    </row>
    <row r="10" ht="210" customHeight="1">
      <c r="A10" s="11" t="inlineStr">
        <is>
          <t>Belleza y cuidado personal</t>
        </is>
      </c>
      <c r="B10" s="11" t="inlineStr">
        <is>
          <t>Apoyo tecnológico para {NEGOCIO}</t>
        </is>
      </c>
      <c r="C10" s="11" t="inlineStr">
        <is>
          <t>Hola, equipo de {NEGOCIO}:
Somos NeXo, empresa tecnológica de La Dorada. Si en su negocio utilizan computadores o impresoras para la atención y administración, podemos apoyarles con diagnóstico, mantenimiento y reparación. También creamos páginas web y automatizaciones a la medida para negocios y empresas.
¿Quién coordina estos temas? Si les parece, podemos conversar brevemente y explorar qué solución les sería útil.
Atentamente,
Equipo NeXo
Soluciones tecnológicas y servicio técnico | La Dorada, Caldas
WhatsApp: +57 322 206 7870
Sitio web: https://ne-xo-page.vercel.app
Si prefieren no recibir más información comercial, pueden responder a este correo y lo tendremos en cuenta.</t>
        </is>
      </c>
      <c r="D10" s="11" t="inlineStr">
        <is>
          <t>Peluquerías, barberías, uñas, spa, pestañas, cosmética y belleza.</t>
        </is>
      </c>
    </row>
    <row r="11" ht="210" customHeight="1">
      <c r="A11" s="11" t="inlineStr">
        <is>
          <t>Moda, calzado y accesorios</t>
        </is>
      </c>
      <c r="B11" s="11" t="inlineStr">
        <is>
          <t>Servicios tecnológicos para {NEGOCIO}</t>
        </is>
      </c>
      <c r="C11" s="11" t="inlineStr">
        <is>
          <t>Hola, equipo de {NEGOCIO}:
Somos NeXo, empresa tecnológica de La Dorada. Brindamos mantenimiento y soporte para impresoras y computadores, y desarrollamos páginas web, software y automatizaciones para negocios. Podemos conocer sus necesidades y proponer opciones prácticas para sus procesos administrativos y su presencia digital.
¿Con quién podríamos conversar sobre el soporte tecnológico de su negocio? Estamos disponibles para una presentación breve.
Atentamente,
Equipo NeXo
Soluciones tecnológicas y servicio técnico | La Dorada, Caldas
WhatsApp: +57 322 206 7870
Sitio web: https://ne-xo-page.vercel.app
Si prefieren no recibir más información comercial, pueden responder a este correo y lo tendremos en cuenta.</t>
        </is>
      </c>
      <c r="D11" s="11" t="inlineStr">
        <is>
          <t>Boutiques, ropa, calzado, accesorios, talabarterías y sastrerías.</t>
        </is>
      </c>
    </row>
    <row r="12" ht="210" customHeight="1">
      <c r="A12" s="11" t="inlineStr">
        <is>
          <t>Alimentos, tiendas y consumo</t>
        </is>
      </c>
      <c r="B12" s="11" t="inlineStr">
        <is>
          <t>Soporte para computadores e impresión en {NEGOCIO}</t>
        </is>
      </c>
      <c r="C12" s="11" t="inlineStr">
        <is>
          <t>Hola, equipo de {NEGOCIO}:
Somos NeXo, una empresa tecnológica de La Dorada. Ofrecemos mantenimiento y reparación de impresoras y soporte para computadores. Además, desarrollamos páginas web, software y automatizaciones ajustadas a las necesidades de cada negocio.
¿Quién coordina el soporte tecnológico? Nos gustaría presentarles nuestros servicios y saber si podemos ayudarles con algún equipo o proceso.
Atentamente,
Equipo NeXo
Soluciones tecnológicas y servicio técnico | La Dorada, Caldas
WhatsApp: +57 322 206 7870
Sitio web: https://ne-xo-page.vercel.app
Si prefieren no recibir más información comercial, pueden responder a este correo y lo tendremos en cuenta.</t>
        </is>
      </c>
      <c r="D12" s="11" t="inlineStr">
        <is>
          <t>Tiendas, supermercados, panaderías, alimentos y comercios de consumo.</t>
        </is>
      </c>
    </row>
    <row r="13" ht="210" customHeight="1">
      <c r="A13" s="11" t="inlineStr">
        <is>
          <t>Comercios y corresponsales</t>
        </is>
      </c>
      <c r="B13" s="11" t="inlineStr">
        <is>
          <t>Soluciones tecnológicas para {NEGOCIO}</t>
        </is>
      </c>
      <c r="C13" s="11" t="inlineStr">
        <is>
          <t>Hola, equipo de {NEGOCIO}:
Somos NeXo, empresa tecnológica de La Dorada. Apoyamos a negocios locales con mantenimiento de impresoras, soporte para computadores y suministro de insumos de impresión. También desarrollamos páginas web, software y automatizaciones a la medida.
¿Quién coordina estos servicios en su negocio? Podemos presentarnos y conocer sus necesidades en una conversación breve.
Atentamente,
Equipo NeXo
Soluciones tecnológicas y servicio técnico | La Dorada, Caldas
WhatsApp: +57 322 206 7870
Sitio web: https://ne-xo-page.vercel.app
Si prefieren no recibir más información comercial, pueden responder a este correo y lo tendremos en cuenta.</t>
        </is>
      </c>
      <c r="D13" s="11" t="inlineStr">
        <is>
          <t>Corresponsales, misceláneas, variedades, tiendas y comercio minorista.</t>
        </is>
      </c>
    </row>
    <row r="14" ht="210" customHeight="1">
      <c r="A14" s="11" t="inlineStr">
        <is>
          <t>Bienestar y entrenamiento</t>
        </is>
      </c>
      <c r="B14" s="11" t="inlineStr">
        <is>
          <t>Soporte digital y tecnológico para {NEGOCIO}</t>
        </is>
      </c>
      <c r="C14" s="11" t="inlineStr">
        <is>
          <t>Hola, equipo de {NEGOCIO}:
Somos NeXo, una empresa tecnológica de La Dorada. Ofrecemos soporte para computadores e impresoras y creamos páginas web y automatizaciones que pueden ayudar a organizar procesos de negocios dedicados al bienestar y el entrenamiento.
¿Quién coordina el soporte tecnológico o los proyectos digitales? Nos gustaría presentarles brevemente nuestros servicios y conocer sus necesidades.
Atentamente,
Equipo NeXo
Soluciones tecnológicas y servicio técnico | La Dorada, Caldas
WhatsApp: +57 322 206 7870
Sitio web: https://ne-xo-page.vercel.app
Si prefieren no recibir más información comercial, pueden responder a este correo y lo tendremos en cuenta.</t>
        </is>
      </c>
      <c r="D14" s="11" t="inlineStr">
        <is>
          <t>Gimnasios, entrenamiento y bienestar.</t>
        </is>
      </c>
    </row>
    <row r="15" ht="210" customHeight="1">
      <c r="A15" s="11" t="inlineStr">
        <is>
          <t>Empresas y servicios</t>
        </is>
      </c>
      <c r="B15" s="11" t="inlineStr">
        <is>
          <t>Presentación de servicios tecnológicos | NeXo</t>
        </is>
      </c>
      <c r="C15" s="11" t="inlineStr">
        <is>
          <t>Cordial saludo, equipo de {NEGOCIO}:
Somos NeXo, una empresa tecnológica de La Dorada. Prestamos mantenimiento y reparación de impresoras de distintas marcas y tecnologías, soporte para computadores, y desarrollamos software, páginas web y automatizaciones para empresas e instituciones.
¿Quién coordina el soporte de impresoras y computadores o los proyectos de tecnología? Nos gustaría presentarles nuestros servicios y conocer sus necesidades.
Atentamente,
Equipo NeXo
Soluciones tecnológicas y servicio técnico | La Dorada, Caldas
WhatsApp: +57 322 206 7870
Sitio web: https://ne-xo-page.vercel.app
Si prefieren no recibir más información comercial, pueden responder a este correo y lo tendremos en cuenta.</t>
        </is>
      </c>
      <c r="D15" s="11" t="inlineStr">
        <is>
          <t>Empresas, servicios profesionales, comercio mayorista, transporte, construcción, finanzas, logística y otros sectores.</t>
        </is>
      </c>
    </row>
  </sheetData>
  <pageMargins left="0.7" right="0.7" top="0.75" bottom="0.75" header="0.3" footer="0.3"/>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2:C74"/>
  <sheetViews>
    <sheetView showGridLines="0" workbookViewId="0">
      <pane ySplit="5" topLeftCell="A6" activePane="bottomLeft" state="frozen"/>
      <selection activeCell="A1" sqref="A1"/>
    </sheetView>
  </sheetViews>
  <sheetFormatPr baseColWidth="8" defaultRowHeight="15" outlineLevelCol="0"/>
  <cols>
    <col width="48" customWidth="1" min="1" max="1"/>
    <col width="36" customWidth="1" min="2" max="2"/>
    <col width="28" customWidth="1" min="3" max="3"/>
  </cols>
  <sheetData>
    <row r="2">
      <c r="A2" s="1" t="inlineStr">
        <is>
          <t>Mapa de categorías</t>
        </is>
      </c>
    </row>
    <row r="3" ht="30" customHeight="1">
      <c r="A3" s="3" t="inlineStr">
        <is>
          <t>Referencia editable: cada sector de origen se agrupa en una categoría para filtrar la base. Si una clasificación no encaja, cambia la categoría en Contactos.</t>
        </is>
      </c>
      <c r="B3" s="3" t="n"/>
      <c r="C3" s="3" t="n"/>
    </row>
    <row r="5">
      <c r="A5" s="8" t="inlineStr">
        <is>
          <t>Sector según fuente</t>
        </is>
      </c>
      <c r="B5" s="8" t="inlineStr">
        <is>
          <t>Categoría de contacto</t>
        </is>
      </c>
      <c r="C5" s="8" t="inlineStr">
        <is>
          <t>Negocios en esta categoría fuente</t>
        </is>
      </c>
    </row>
    <row r="6">
      <c r="A6" s="25" t="inlineStr">
        <is>
          <t>Accesorios / ropa</t>
        </is>
      </c>
      <c r="B6" s="25" t="inlineStr">
        <is>
          <t>Moda, calzado y accesorios</t>
        </is>
      </c>
      <c r="C6" s="25" t="n">
        <v>1</v>
      </c>
    </row>
    <row r="7">
      <c r="A7" s="25" t="inlineStr">
        <is>
          <t>Alimentos / corresponsal</t>
        </is>
      </c>
      <c r="B7" s="25" t="inlineStr">
        <is>
          <t>Alimentos, tiendas y consumo</t>
        </is>
      </c>
      <c r="C7" s="25" t="n">
        <v>1</v>
      </c>
    </row>
    <row r="8">
      <c r="A8" s="25" t="inlineStr">
        <is>
          <t>Alimentos / repostería</t>
        </is>
      </c>
      <c r="B8" s="25" t="inlineStr">
        <is>
          <t>Alimentos, tiendas y consumo</t>
        </is>
      </c>
      <c r="C8" s="25" t="n">
        <v>1</v>
      </c>
    </row>
    <row r="9">
      <c r="A9" s="25" t="inlineStr">
        <is>
          <t>Automotor / revisión técnico-mecánica</t>
        </is>
      </c>
      <c r="B9" s="25" t="inlineStr">
        <is>
          <t>Empresas y servicios</t>
        </is>
      </c>
      <c r="C9" s="25" t="n">
        <v>1</v>
      </c>
    </row>
    <row r="10">
      <c r="A10" s="25" t="inlineStr">
        <is>
          <t>Barbería</t>
        </is>
      </c>
      <c r="B10" s="25" t="inlineStr">
        <is>
          <t>Belleza y cuidado personal</t>
        </is>
      </c>
      <c r="C10" s="25" t="n">
        <v>6</v>
      </c>
    </row>
    <row r="11">
      <c r="A11" s="25" t="inlineStr">
        <is>
          <t>Belleza / cosméticos / accesorios</t>
        </is>
      </c>
      <c r="B11" s="25" t="inlineStr">
        <is>
          <t>Belleza y cuidado personal</t>
        </is>
      </c>
      <c r="C11" s="25" t="n">
        <v>1</v>
      </c>
    </row>
    <row r="12">
      <c r="A12" s="25" t="inlineStr">
        <is>
          <t>Belleza / peluquería</t>
        </is>
      </c>
      <c r="B12" s="25" t="inlineStr">
        <is>
          <t>Belleza y cuidado personal</t>
        </is>
      </c>
      <c r="C12" s="25" t="n">
        <v>1</v>
      </c>
    </row>
    <row r="13">
      <c r="A13" s="25" t="inlineStr">
        <is>
          <t>Belleza / pestañas</t>
        </is>
      </c>
      <c r="B13" s="25" t="inlineStr">
        <is>
          <t>Belleza y cuidado personal</t>
        </is>
      </c>
      <c r="C13" s="25" t="n">
        <v>1</v>
      </c>
    </row>
    <row r="14">
      <c r="A14" s="25" t="inlineStr">
        <is>
          <t>Belleza / spa</t>
        </is>
      </c>
      <c r="B14" s="25" t="inlineStr">
        <is>
          <t>Belleza y cuidado personal</t>
        </is>
      </c>
      <c r="C14" s="25" t="n">
        <v>1</v>
      </c>
    </row>
    <row r="15">
      <c r="A15" s="25" t="inlineStr">
        <is>
          <t>Belleza / uñas</t>
        </is>
      </c>
      <c r="B15" s="25" t="inlineStr">
        <is>
          <t>Belleza y cuidado personal</t>
        </is>
      </c>
      <c r="C15" s="25" t="n">
        <v>4</v>
      </c>
    </row>
    <row r="16">
      <c r="A16" s="25" t="inlineStr">
        <is>
          <t>Belleza / uñas / peluquería</t>
        </is>
      </c>
      <c r="B16" s="25" t="inlineStr">
        <is>
          <t>Belleza y cuidado personal</t>
        </is>
      </c>
      <c r="C16" s="25" t="n">
        <v>1</v>
      </c>
    </row>
    <row r="17">
      <c r="A17" s="25" t="inlineStr">
        <is>
          <t>Calzado / zapatería</t>
        </is>
      </c>
      <c r="B17" s="25" t="inlineStr">
        <is>
          <t>Moda, calzado y accesorios</t>
        </is>
      </c>
      <c r="C17" s="25" t="n">
        <v>2</v>
      </c>
    </row>
    <row r="18">
      <c r="A18" s="25" t="inlineStr">
        <is>
          <t>Combustibles / energía</t>
        </is>
      </c>
      <c r="B18" s="25" t="inlineStr">
        <is>
          <t>Empresas y servicios</t>
        </is>
      </c>
      <c r="C18" s="25" t="n">
        <v>1</v>
      </c>
    </row>
    <row r="19">
      <c r="A19" s="25" t="inlineStr">
        <is>
          <t>Combustibles / transporte</t>
        </is>
      </c>
      <c r="B19" s="25" t="inlineStr">
        <is>
          <t>Empresas y servicios</t>
        </is>
      </c>
      <c r="C19" s="25" t="n">
        <v>1</v>
      </c>
    </row>
    <row r="20">
      <c r="A20" s="25" t="inlineStr">
        <is>
          <t>Comercio</t>
        </is>
      </c>
      <c r="B20" s="25" t="inlineStr">
        <is>
          <t>Empresas y servicios</t>
        </is>
      </c>
      <c r="C20" s="25" t="n">
        <v>1</v>
      </c>
    </row>
    <row r="21">
      <c r="A21" s="25" t="inlineStr">
        <is>
          <t>Comercio / agro</t>
        </is>
      </c>
      <c r="B21" s="25" t="inlineStr">
        <is>
          <t>Empresas y servicios</t>
        </is>
      </c>
      <c r="C21" s="25" t="n">
        <v>1</v>
      </c>
    </row>
    <row r="22">
      <c r="A22" s="25" t="inlineStr">
        <is>
          <t>Comercio / belleza</t>
        </is>
      </c>
      <c r="B22" s="25" t="inlineStr">
        <is>
          <t>Belleza y cuidado personal</t>
        </is>
      </c>
      <c r="C22" s="25" t="n">
        <v>1</v>
      </c>
    </row>
    <row r="23">
      <c r="A23" s="25" t="inlineStr">
        <is>
          <t>Comercio / corresponsal</t>
        </is>
      </c>
      <c r="B23" s="25" t="inlineStr">
        <is>
          <t>Comercios y corresponsales</t>
        </is>
      </c>
      <c r="C23" s="25" t="n">
        <v>4</v>
      </c>
    </row>
    <row r="24">
      <c r="A24" s="25" t="inlineStr">
        <is>
          <t>Comercio / distribución</t>
        </is>
      </c>
      <c r="B24" s="25" t="inlineStr">
        <is>
          <t>Empresas y servicios</t>
        </is>
      </c>
      <c r="C24" s="25" t="n">
        <v>3</v>
      </c>
    </row>
    <row r="25">
      <c r="A25" s="25" t="inlineStr">
        <is>
          <t>Comercio / ferretería</t>
        </is>
      </c>
      <c r="B25" s="25" t="inlineStr">
        <is>
          <t>Empresas y servicios</t>
        </is>
      </c>
      <c r="C25" s="25" t="n">
        <v>1</v>
      </c>
    </row>
    <row r="26">
      <c r="A26" s="25" t="inlineStr">
        <is>
          <t>Comercio / insumos de belleza</t>
        </is>
      </c>
      <c r="B26" s="25" t="inlineStr">
        <is>
          <t>Belleza y cuidado personal</t>
        </is>
      </c>
      <c r="C26" s="25" t="n">
        <v>1</v>
      </c>
    </row>
    <row r="27">
      <c r="A27" s="25" t="inlineStr">
        <is>
          <t>Comercio / logística</t>
        </is>
      </c>
      <c r="B27" s="25" t="inlineStr">
        <is>
          <t>Empresas y servicios</t>
        </is>
      </c>
      <c r="C27" s="25" t="n">
        <v>1</v>
      </c>
    </row>
    <row r="28">
      <c r="A28" s="25" t="inlineStr">
        <is>
          <t>Comercio / motocicletas</t>
        </is>
      </c>
      <c r="B28" s="25" t="inlineStr">
        <is>
          <t>Empresas y servicios</t>
        </is>
      </c>
      <c r="C28" s="25" t="n">
        <v>1</v>
      </c>
    </row>
    <row r="29">
      <c r="A29" s="25" t="inlineStr">
        <is>
          <t>Comercio / oro</t>
        </is>
      </c>
      <c r="B29" s="25" t="inlineStr">
        <is>
          <t>Empresas y servicios</t>
        </is>
      </c>
      <c r="C29" s="25" t="n">
        <v>1</v>
      </c>
    </row>
    <row r="30">
      <c r="A30" s="25" t="inlineStr">
        <is>
          <t>Comercio / productos naturales</t>
        </is>
      </c>
      <c r="B30" s="25" t="inlineStr">
        <is>
          <t>Alimentos, tiendas y consumo</t>
        </is>
      </c>
      <c r="C30" s="25" t="n">
        <v>1</v>
      </c>
    </row>
    <row r="31">
      <c r="A31" s="25" t="inlineStr">
        <is>
          <t>Comercio / servicios</t>
        </is>
      </c>
      <c r="B31" s="25" t="inlineStr">
        <is>
          <t>Empresas y servicios</t>
        </is>
      </c>
      <c r="C31" s="25" t="n">
        <v>1</v>
      </c>
    </row>
    <row r="32">
      <c r="A32" s="25" t="inlineStr">
        <is>
          <t>Comercio / subastas</t>
        </is>
      </c>
      <c r="B32" s="25" t="inlineStr">
        <is>
          <t>Empresas y servicios</t>
        </is>
      </c>
      <c r="C32" s="25" t="n">
        <v>1</v>
      </c>
    </row>
    <row r="33">
      <c r="A33" s="25" t="inlineStr">
        <is>
          <t>Comercio / supermercado</t>
        </is>
      </c>
      <c r="B33" s="25" t="inlineStr">
        <is>
          <t>Alimentos, tiendas y consumo</t>
        </is>
      </c>
      <c r="C33" s="25" t="n">
        <v>2</v>
      </c>
    </row>
    <row r="34">
      <c r="A34" s="25" t="inlineStr">
        <is>
          <t>Construcción</t>
        </is>
      </c>
      <c r="B34" s="25" t="inlineStr">
        <is>
          <t>Empresas y servicios</t>
        </is>
      </c>
      <c r="C34" s="25" t="n">
        <v>1</v>
      </c>
    </row>
    <row r="35">
      <c r="A35" s="25" t="inlineStr">
        <is>
          <t>Droguería / bienestar</t>
        </is>
      </c>
      <c r="B35" s="25" t="inlineStr">
        <is>
          <t>Bienestar y entrenamiento</t>
        </is>
      </c>
      <c r="C35" s="25" t="n">
        <v>1</v>
      </c>
    </row>
    <row r="36">
      <c r="A36" s="25" t="inlineStr">
        <is>
          <t>Droguería / corresponsal</t>
        </is>
      </c>
      <c r="B36" s="25" t="inlineStr">
        <is>
          <t>Comercios y corresponsales</t>
        </is>
      </c>
      <c r="C36" s="25" t="n">
        <v>1</v>
      </c>
    </row>
    <row r="37">
      <c r="A37" s="25" t="inlineStr">
        <is>
          <t>Dulcería / corresponsal</t>
        </is>
      </c>
      <c r="B37" s="25" t="inlineStr">
        <is>
          <t>Alimentos, tiendas y consumo</t>
        </is>
      </c>
      <c r="C37" s="25" t="n">
        <v>1</v>
      </c>
    </row>
    <row r="38">
      <c r="A38" s="25" t="inlineStr">
        <is>
          <t>Educación</t>
        </is>
      </c>
      <c r="B38" s="25" t="inlineStr">
        <is>
          <t>Educación e instituciones</t>
        </is>
      </c>
      <c r="C38" s="25" t="n">
        <v>6</v>
      </c>
    </row>
    <row r="39">
      <c r="A39" s="25" t="inlineStr">
        <is>
          <t>Emprendimiento / manualidades</t>
        </is>
      </c>
      <c r="B39" s="25" t="inlineStr">
        <is>
          <t>Empresas y servicios</t>
        </is>
      </c>
      <c r="C39" s="25" t="n">
        <v>1</v>
      </c>
    </row>
    <row r="40">
      <c r="A40" s="25" t="inlineStr">
        <is>
          <t>Entidad empresarial</t>
        </is>
      </c>
      <c r="B40" s="25" t="inlineStr">
        <is>
          <t>Empresas y servicios</t>
        </is>
      </c>
      <c r="C40" s="25" t="n">
        <v>1</v>
      </c>
    </row>
    <row r="41">
      <c r="A41" s="25" t="inlineStr">
        <is>
          <t>Estampados / personalización</t>
        </is>
      </c>
      <c r="B41" s="25" t="inlineStr">
        <is>
          <t>Empresas y servicios</t>
        </is>
      </c>
      <c r="C41" s="25" t="n">
        <v>1</v>
      </c>
    </row>
    <row r="42">
      <c r="A42" s="25" t="inlineStr">
        <is>
          <t>Ferretería</t>
        </is>
      </c>
      <c r="B42" s="25" t="inlineStr">
        <is>
          <t>Empresas y servicios</t>
        </is>
      </c>
      <c r="C42" s="25" t="n">
        <v>1</v>
      </c>
    </row>
    <row r="43">
      <c r="A43" s="25" t="inlineStr">
        <is>
          <t>Finanzas</t>
        </is>
      </c>
      <c r="B43" s="25" t="inlineStr">
        <is>
          <t>Empresas y servicios</t>
        </is>
      </c>
      <c r="C43" s="25" t="n">
        <v>1</v>
      </c>
    </row>
    <row r="44">
      <c r="A44" s="25" t="inlineStr">
        <is>
          <t>Gimnasio / entrenamiento</t>
        </is>
      </c>
      <c r="B44" s="25" t="inlineStr">
        <is>
          <t>Bienestar y entrenamiento</t>
        </is>
      </c>
      <c r="C44" s="25" t="n">
        <v>1</v>
      </c>
    </row>
    <row r="45">
      <c r="A45" s="25" t="inlineStr">
        <is>
          <t>Hotel / hospedaje</t>
        </is>
      </c>
      <c r="B45" s="25" t="inlineStr">
        <is>
          <t>Hoteles y hospedajes</t>
        </is>
      </c>
      <c r="C45" s="25" t="n">
        <v>96</v>
      </c>
    </row>
    <row r="46">
      <c r="A46" s="25" t="inlineStr">
        <is>
          <t>Impresión / publicidad</t>
        </is>
      </c>
      <c r="B46" s="25" t="inlineStr">
        <is>
          <t>Papelerías, copias e impresión</t>
        </is>
      </c>
      <c r="C46" s="25" t="n">
        <v>1</v>
      </c>
    </row>
    <row r="47">
      <c r="A47" s="25" t="inlineStr">
        <is>
          <t>Internet / corresponsal</t>
        </is>
      </c>
      <c r="B47" s="25" t="inlineStr">
        <is>
          <t>Comercios y corresponsales</t>
        </is>
      </c>
      <c r="C47" s="25" t="n">
        <v>1</v>
      </c>
    </row>
    <row r="48">
      <c r="A48" s="25" t="inlineStr">
        <is>
          <t>Inversiones / servicios</t>
        </is>
      </c>
      <c r="B48" s="25" t="inlineStr">
        <is>
          <t>Empresas y servicios</t>
        </is>
      </c>
      <c r="C48" s="25" t="n">
        <v>2</v>
      </c>
    </row>
    <row r="49">
      <c r="A49" s="25" t="inlineStr">
        <is>
          <t>Librería / papelería</t>
        </is>
      </c>
      <c r="B49" s="25" t="inlineStr">
        <is>
          <t>Papelerías, copias e impresión</t>
        </is>
      </c>
      <c r="C49" s="25" t="n">
        <v>1</v>
      </c>
    </row>
    <row r="50">
      <c r="A50" s="25" t="inlineStr">
        <is>
          <t>Medios / telecomunicaciones</t>
        </is>
      </c>
      <c r="B50" s="25" t="inlineStr">
        <is>
          <t>Empresas y servicios</t>
        </is>
      </c>
      <c r="C50" s="25" t="n">
        <v>1</v>
      </c>
    </row>
    <row r="51">
      <c r="A51" s="25" t="inlineStr">
        <is>
          <t>Minimercado / corresponsal</t>
        </is>
      </c>
      <c r="B51" s="25" t="inlineStr">
        <is>
          <t>Alimentos, tiendas y consumo</t>
        </is>
      </c>
      <c r="C51" s="25" t="n">
        <v>3</v>
      </c>
    </row>
    <row r="52">
      <c r="A52" s="25" t="inlineStr">
        <is>
          <t>Miscelánea / corresponsal</t>
        </is>
      </c>
      <c r="B52" s="25" t="inlineStr">
        <is>
          <t>Comercios y corresponsales</t>
        </is>
      </c>
      <c r="C52" s="25" t="n">
        <v>3</v>
      </c>
    </row>
    <row r="53">
      <c r="A53" s="25" t="inlineStr">
        <is>
          <t>Panadería / punto de servicio</t>
        </is>
      </c>
      <c r="B53" s="25" t="inlineStr">
        <is>
          <t>Alimentos, tiendas y consumo</t>
        </is>
      </c>
      <c r="C53" s="25" t="n">
        <v>2</v>
      </c>
    </row>
    <row r="54">
      <c r="A54" s="25" t="inlineStr">
        <is>
          <t>Papelería / artículos de oficina</t>
        </is>
      </c>
      <c r="B54" s="25" t="inlineStr">
        <is>
          <t>Papelerías, copias e impresión</t>
        </is>
      </c>
      <c r="C54" s="25" t="n">
        <v>1</v>
      </c>
    </row>
    <row r="55">
      <c r="A55" s="25" t="inlineStr">
        <is>
          <t>Papelería / copias</t>
        </is>
      </c>
      <c r="B55" s="25" t="inlineStr">
        <is>
          <t>Papelerías, copias e impresión</t>
        </is>
      </c>
      <c r="C55" s="25" t="n">
        <v>3</v>
      </c>
    </row>
    <row r="56">
      <c r="A56" s="25" t="inlineStr">
        <is>
          <t>Papelería / corresponsal</t>
        </is>
      </c>
      <c r="B56" s="25" t="inlineStr">
        <is>
          <t>Papelerías, copias e impresión</t>
        </is>
      </c>
      <c r="C56" s="25" t="n">
        <v>6</v>
      </c>
    </row>
    <row r="57">
      <c r="A57" s="25" t="inlineStr">
        <is>
          <t>Papelería / corresponsal / soporte técnico</t>
        </is>
      </c>
      <c r="B57" s="25" t="inlineStr">
        <is>
          <t>Papelerías, copias e impresión</t>
        </is>
      </c>
      <c r="C57" s="25" t="n">
        <v>1</v>
      </c>
    </row>
    <row r="58">
      <c r="A58" s="25" t="inlineStr">
        <is>
          <t>Papelería / impresión</t>
        </is>
      </c>
      <c r="B58" s="25" t="inlineStr">
        <is>
          <t>Papelerías, copias e impresión</t>
        </is>
      </c>
      <c r="C58" s="25" t="n">
        <v>2</v>
      </c>
    </row>
    <row r="59">
      <c r="A59" s="25" t="inlineStr">
        <is>
          <t>Peluquería</t>
        </is>
      </c>
      <c r="B59" s="25" t="inlineStr">
        <is>
          <t>Belleza y cuidado personal</t>
        </is>
      </c>
      <c r="C59" s="25" t="n">
        <v>2</v>
      </c>
    </row>
    <row r="60">
      <c r="A60" s="25" t="inlineStr">
        <is>
          <t>Ropa</t>
        </is>
      </c>
      <c r="B60" s="25" t="inlineStr">
        <is>
          <t>Moda, calzado y accesorios</t>
        </is>
      </c>
      <c r="C60" s="25" t="n">
        <v>1</v>
      </c>
    </row>
    <row r="61">
      <c r="A61" s="25" t="inlineStr">
        <is>
          <t>Ropa / accesorios</t>
        </is>
      </c>
      <c r="B61" s="25" t="inlineStr">
        <is>
          <t>Moda, calzado y accesorios</t>
        </is>
      </c>
      <c r="C61" s="25" t="n">
        <v>1</v>
      </c>
    </row>
    <row r="62">
      <c r="A62" s="25" t="inlineStr">
        <is>
          <t>Ropa / almacén familiar</t>
        </is>
      </c>
      <c r="B62" s="25" t="inlineStr">
        <is>
          <t>Moda, calzado y accesorios</t>
        </is>
      </c>
      <c r="C62" s="25" t="n">
        <v>1</v>
      </c>
    </row>
    <row r="63">
      <c r="A63" s="25" t="inlineStr">
        <is>
          <t>Ropa / boutique</t>
        </is>
      </c>
      <c r="B63" s="25" t="inlineStr">
        <is>
          <t>Moda, calzado y accesorios</t>
        </is>
      </c>
      <c r="C63" s="25" t="n">
        <v>8</v>
      </c>
    </row>
    <row r="64">
      <c r="A64" s="25" t="inlineStr">
        <is>
          <t>Ropa / comercio</t>
        </is>
      </c>
      <c r="B64" s="25" t="inlineStr">
        <is>
          <t>Moda, calzado y accesorios</t>
        </is>
      </c>
      <c r="C64" s="25" t="n">
        <v>1</v>
      </c>
    </row>
    <row r="65">
      <c r="A65" s="25" t="inlineStr">
        <is>
          <t>Ropa / deporte</t>
        </is>
      </c>
      <c r="B65" s="25" t="inlineStr">
        <is>
          <t>Moda, calzado y accesorios</t>
        </is>
      </c>
      <c r="C65" s="25" t="n">
        <v>1</v>
      </c>
    </row>
    <row r="66">
      <c r="A66" s="25" t="inlineStr">
        <is>
          <t>Ropa / tienda</t>
        </is>
      </c>
      <c r="B66" s="25" t="inlineStr">
        <is>
          <t>Moda, calzado y accesorios</t>
        </is>
      </c>
      <c r="C66" s="25" t="n">
        <v>1</v>
      </c>
    </row>
    <row r="67">
      <c r="A67" s="25" t="inlineStr">
        <is>
          <t>Ropa / variedades</t>
        </is>
      </c>
      <c r="B67" s="25" t="inlineStr">
        <is>
          <t>Moda, calzado y accesorios</t>
        </is>
      </c>
      <c r="C67" s="25" t="n">
        <v>2</v>
      </c>
    </row>
    <row r="68">
      <c r="A68" s="25" t="inlineStr">
        <is>
          <t>Salud</t>
        </is>
      </c>
      <c r="B68" s="25" t="inlineStr">
        <is>
          <t>Salud y atención médica</t>
        </is>
      </c>
      <c r="C68" s="25" t="n">
        <v>10</v>
      </c>
    </row>
    <row r="69">
      <c r="A69" s="25" t="inlineStr">
        <is>
          <t>Sastrería / ropa</t>
        </is>
      </c>
      <c r="B69" s="25" t="inlineStr">
        <is>
          <t>Moda, calzado y accesorios</t>
        </is>
      </c>
      <c r="C69" s="25" t="n">
        <v>1</v>
      </c>
    </row>
    <row r="70">
      <c r="A70" s="25" t="inlineStr">
        <is>
          <t>Servicios / corresponsal</t>
        </is>
      </c>
      <c r="B70" s="25" t="inlineStr">
        <is>
          <t>Comercios y corresponsales</t>
        </is>
      </c>
      <c r="C70" s="25" t="n">
        <v>1</v>
      </c>
    </row>
    <row r="71">
      <c r="A71" s="25" t="inlineStr">
        <is>
          <t>Talabartería / cuero</t>
        </is>
      </c>
      <c r="B71" s="25" t="inlineStr">
        <is>
          <t>Moda, calzado y accesorios</t>
        </is>
      </c>
      <c r="C71" s="25" t="n">
        <v>1</v>
      </c>
    </row>
    <row r="72">
      <c r="A72" s="25" t="inlineStr">
        <is>
          <t>Tienda / corresponsal</t>
        </is>
      </c>
      <c r="B72" s="25" t="inlineStr">
        <is>
          <t>Comercios y corresponsales</t>
        </is>
      </c>
      <c r="C72" s="25" t="n">
        <v>1</v>
      </c>
    </row>
    <row r="73">
      <c r="A73" s="25" t="inlineStr">
        <is>
          <t>Transporte</t>
        </is>
      </c>
      <c r="B73" s="25" t="inlineStr">
        <is>
          <t>Empresas y servicios</t>
        </is>
      </c>
      <c r="C73" s="25" t="n">
        <v>1</v>
      </c>
    </row>
    <row r="74">
      <c r="A74" s="25" t="inlineStr">
        <is>
          <t>Variedades / corresponsal</t>
        </is>
      </c>
      <c r="B74" s="25" t="inlineStr">
        <is>
          <t>Comercios y corresponsales</t>
        </is>
      </c>
      <c r="C74" s="25" t="n">
        <v>6</v>
      </c>
    </row>
  </sheetData>
  <pageMargins left="0.7" right="0.7" top="0.75" bottom="0.75" header="0.3" footer="0.3"/>
  <tableParts count="1">
    <tablePart xmlns:r="http://schemas.openxmlformats.org/officeDocument/2006/relationships" r:id="rId1"/>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2026-10-21T19:02:19Z</dcterms:created>
  <dcterms:modified xsi:type="dcterms:W3CDTF">2026-10-21T19:03:26Z</dcterms:modified>
</cp:coreProperties>
</file>